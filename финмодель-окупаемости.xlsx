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купаемость" sheetId="1" state="visible" r:id="rId1"/>
    <sheet xmlns:r="http://schemas.openxmlformats.org/officeDocument/2006/relationships" name="Калькулятор заказа" sheetId="2" state="visible" r:id="rId2"/>
    <sheet xmlns:r="http://schemas.openxmlformats.org/officeDocument/2006/relationships" name="Прайс-лист" sheetId="3" state="visible" r:id="rId3"/>
    <sheet xmlns:r="http://schemas.openxmlformats.org/officeDocument/2006/relationships" name="Журнал заказов" sheetId="4" state="visible" r:id="rId4"/>
    <sheet xmlns:r="http://schemas.openxmlformats.org/officeDocument/2006/relationships" name="Что печатать (тест полки)" sheetId="5" state="visible" r:id="rId5"/>
    <sheet xmlns:r="http://schemas.openxmlformats.org/officeDocument/2006/relationships" name="Обход B2B" sheetId="6" state="visible" r:id="rId6"/>
    <sheet xmlns:r="http://schemas.openxmlformats.org/officeDocument/2006/relationships" name="Закупка пластика" sheetId="7" state="visible" r:id="rId7"/>
    <sheet xmlns:r="http://schemas.openxmlformats.org/officeDocument/2006/relationships" name="Постоянные клиент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0.0"/>
    <numFmt numFmtId="166" formatCode="# ##0.00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77777"/>
      <sz val="9"/>
    </font>
    <font>
      <b val="1"/>
      <color rgb="001F3864"/>
    </font>
    <font>
      <b val="1"/>
      <color rgb="00FFFFFF"/>
      <sz val="12"/>
    </font>
    <font>
      <b val="1"/>
      <color rgb="00006100"/>
      <sz val="12"/>
    </font>
    <font>
      <i val="1"/>
      <color rgb="00555555"/>
    </font>
    <font>
      <b val="1"/>
      <color rgb="001F3864"/>
      <sz val="13"/>
    </font>
    <font>
      <b val="1"/>
      <color rgb="009C0006"/>
      <sz val="12"/>
    </font>
    <font>
      <i val="1"/>
      <color rgb="009C0006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3" borderId="0" pivotButton="0" quotePrefix="0" xfId="0"/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164" fontId="2" fillId="4" borderId="0" pivotButton="0" quotePrefix="0" xfId="0"/>
    <xf numFmtId="0" fontId="4" fillId="5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2" fillId="4" borderId="1" pivotButton="0" quotePrefix="0" xfId="0"/>
    <xf numFmtId="164" fontId="2" fillId="0" borderId="0" pivotButton="0" quotePrefix="0" xfId="0"/>
    <xf numFmtId="164" fontId="0" fillId="0" borderId="0" pivotButton="0" quotePrefix="0" xfId="0"/>
    <xf numFmtId="0" fontId="0" fillId="3" borderId="1" applyAlignment="1" pivotButton="0" quotePrefix="0" xfId="0">
      <alignment horizontal="center"/>
    </xf>
    <xf numFmtId="164" fontId="0" fillId="4" borderId="1" pivotButton="0" quotePrefix="0" xfId="0"/>
    <xf numFmtId="164" fontId="0" fillId="6" borderId="1" pivotButton="0" quotePrefix="0" xfId="0"/>
    <xf numFmtId="0" fontId="2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3" fillId="0" borderId="1" pivotButton="0" quotePrefix="0" xfId="0"/>
    <xf numFmtId="2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0" fontId="2" fillId="0" borderId="1" pivotButton="0" quotePrefix="0" xfId="0"/>
    <xf numFmtId="166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4" fontId="8" fillId="4" borderId="1" applyAlignment="1" pivotButton="0" quotePrefix="0" xfId="0">
      <alignment horizontal="center"/>
    </xf>
    <xf numFmtId="164" fontId="9" fillId="6" borderId="1" applyAlignment="1" pivotButton="0" quotePrefix="0" xfId="0">
      <alignment horizontal="center"/>
    </xf>
    <xf numFmtId="0" fontId="1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0" fillId="3" borderId="1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0" pivotButton="0" quotePrefix="0" xfId="0"/>
    <xf numFmtId="164" fontId="0" fillId="3" borderId="0" pivotButton="0" quotePrefix="0" xfId="0"/>
    <xf numFmtId="164" fontId="1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Накопленная прибыль vs вложения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'Окупаемость'!$B$8:$G$8</f>
            </numRef>
          </cat>
          <val>
            <numRef>
              <f>'Окупаемость'!$B$28:$G$28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8" customHeight="1">
      <c r="A1" s="1" t="inlineStr">
        <is>
          <t>ПЛАН ОКУПАЕМОСТИ BAMBU LAB P1S</t>
        </is>
      </c>
    </row>
    <row r="3">
      <c r="A3" s="2" t="inlineStr">
        <is>
          <t>Вложения в принтер + старт, ₽</t>
        </is>
      </c>
      <c r="B3" s="3" t="n">
        <v>80000</v>
      </c>
      <c r="C3" s="4" t="inlineStr">
        <is>
          <t>← меняй под свою реальную сумму</t>
        </is>
      </c>
    </row>
    <row r="4">
      <c r="A4" s="2" t="inlineStr">
        <is>
          <t>Целевой срок окупаемости, мес</t>
        </is>
      </c>
      <c r="B4" s="5" t="n">
        <v>6</v>
      </c>
    </row>
    <row r="5">
      <c r="A5" s="2" t="inlineStr">
        <is>
          <t>Нужно прибыли в месяц, ₽</t>
        </is>
      </c>
      <c r="B5" s="6">
        <f>B3/B4</f>
        <v/>
      </c>
    </row>
    <row r="7" ht="20" customHeight="1">
      <c r="A7" s="7" t="inlineStr">
        <is>
          <t>ПРОГНОЗ ПО МЕСЯЦАМ  (жёлтое — правь под себя)</t>
        </is>
      </c>
    </row>
    <row r="8">
      <c r="A8" s="8" t="inlineStr">
        <is>
          <t>Показатель</t>
        </is>
      </c>
      <c r="B8" s="8" t="inlineStr">
        <is>
          <t>Мес 1</t>
        </is>
      </c>
      <c r="C8" s="8" t="inlineStr">
        <is>
          <t>Мес 2</t>
        </is>
      </c>
      <c r="D8" s="8" t="inlineStr">
        <is>
          <t>Мес 3</t>
        </is>
      </c>
      <c r="E8" s="8" t="inlineStr">
        <is>
          <t>Мес 4</t>
        </is>
      </c>
      <c r="F8" s="8" t="inlineStr">
        <is>
          <t>Мес 5</t>
        </is>
      </c>
      <c r="G8" s="8" t="inlineStr">
        <is>
          <t>Мес 6</t>
        </is>
      </c>
      <c r="H8" s="8" t="inlineStr">
        <is>
          <t>Итого</t>
        </is>
      </c>
    </row>
    <row r="9">
      <c r="A9" s="9" t="inlineStr">
        <is>
          <t>Выручка: магазин (полка)</t>
        </is>
      </c>
      <c r="B9" s="10" t="n">
        <v>9000</v>
      </c>
      <c r="C9" s="10" t="n">
        <v>18000</v>
      </c>
      <c r="D9" s="10" t="n">
        <v>25000</v>
      </c>
      <c r="E9" s="10" t="n">
        <v>30000</v>
      </c>
      <c r="F9" s="10" t="n">
        <v>33000</v>
      </c>
      <c r="G9" s="10" t="n">
        <v>36000</v>
      </c>
      <c r="H9" s="11">
        <f>SUM(B9:G9)</f>
        <v/>
      </c>
    </row>
    <row r="10">
      <c r="A10" s="9" t="inlineStr">
        <is>
          <t>Выручка: Авито</t>
        </is>
      </c>
      <c r="B10" s="10" t="n">
        <v>3000</v>
      </c>
      <c r="C10" s="10" t="n">
        <v>8000</v>
      </c>
      <c r="D10" s="10" t="n">
        <v>14000</v>
      </c>
      <c r="E10" s="10" t="n">
        <v>18000</v>
      </c>
      <c r="F10" s="10" t="n">
        <v>21000</v>
      </c>
      <c r="G10" s="10" t="n">
        <v>24000</v>
      </c>
      <c r="H10" s="11">
        <f>SUM(B10:G10)</f>
        <v/>
      </c>
    </row>
    <row r="11">
      <c r="A11" s="9" t="inlineStr">
        <is>
          <t>Выручка: B2B и топперы</t>
        </is>
      </c>
      <c r="B11" s="10" t="n">
        <v>2000</v>
      </c>
      <c r="C11" s="10" t="n">
        <v>7000</v>
      </c>
      <c r="D11" s="10" t="n">
        <v>13000</v>
      </c>
      <c r="E11" s="10" t="n">
        <v>19000</v>
      </c>
      <c r="F11" s="10" t="n">
        <v>23000</v>
      </c>
      <c r="G11" s="10" t="n">
        <v>27000</v>
      </c>
      <c r="H11" s="11">
        <f>SUM(B11:G11)</f>
        <v/>
      </c>
    </row>
    <row r="12">
      <c r="A12" s="9" t="inlineStr">
        <is>
          <t>Выручка: моделирование</t>
        </is>
      </c>
      <c r="B12" s="10" t="n">
        <v>1000</v>
      </c>
      <c r="C12" s="10" t="n">
        <v>2000</v>
      </c>
      <c r="D12" s="10" t="n">
        <v>3000</v>
      </c>
      <c r="E12" s="10" t="n">
        <v>3000</v>
      </c>
      <c r="F12" s="10" t="n">
        <v>3000</v>
      </c>
      <c r="G12" s="10" t="n">
        <v>3000</v>
      </c>
      <c r="H12" s="11">
        <f>SUM(B12:G12)</f>
        <v/>
      </c>
    </row>
    <row r="13">
      <c r="A13" s="2" t="inlineStr">
        <is>
          <t>ВЫРУЧКА ВСЕГО</t>
        </is>
      </c>
      <c r="B13" s="12">
        <f>SUM(B9:B12)</f>
        <v/>
      </c>
      <c r="C13" s="12">
        <f>SUM(C9:C12)</f>
        <v/>
      </c>
      <c r="D13" s="12">
        <f>SUM(D9:D12)</f>
        <v/>
      </c>
      <c r="E13" s="12">
        <f>SUM(E9:E12)</f>
        <v/>
      </c>
      <c r="F13" s="12">
        <f>SUM(F9:F12)</f>
        <v/>
      </c>
      <c r="G13" s="12">
        <f>SUM(G9:G12)</f>
        <v/>
      </c>
      <c r="H13" s="13">
        <f>SUM(B13:G13)</f>
        <v/>
      </c>
    </row>
    <row r="15" ht="20" customHeight="1">
      <c r="A15" s="7" t="inlineStr">
        <is>
          <t>РАСХОДЫ</t>
        </is>
      </c>
    </row>
    <row r="16">
      <c r="A16" s="9" t="inlineStr">
        <is>
          <t>Пластик</t>
        </is>
      </c>
      <c r="B16" s="10" t="n">
        <v>6000</v>
      </c>
      <c r="C16" s="10" t="n">
        <v>9000</v>
      </c>
      <c r="D16" s="10" t="n">
        <v>12000</v>
      </c>
      <c r="E16" s="10" t="n">
        <v>14000</v>
      </c>
      <c r="F16" s="10" t="n">
        <v>15000</v>
      </c>
      <c r="G16" s="10" t="n">
        <v>16000</v>
      </c>
      <c r="H16" s="14">
        <f>SUM(B16:G16)</f>
        <v/>
      </c>
    </row>
    <row r="17">
      <c r="A17" s="9" t="inlineStr">
        <is>
          <t>Электричество</t>
        </is>
      </c>
      <c r="B17" s="10" t="n">
        <v>700</v>
      </c>
      <c r="C17" s="10" t="n">
        <v>1100</v>
      </c>
      <c r="D17" s="10" t="n">
        <v>1500</v>
      </c>
      <c r="E17" s="10" t="n">
        <v>1800</v>
      </c>
      <c r="F17" s="10" t="n">
        <v>2000</v>
      </c>
      <c r="G17" s="10" t="n">
        <v>2200</v>
      </c>
      <c r="H17" s="14">
        <f>SUM(B17:G17)</f>
        <v/>
      </c>
    </row>
    <row r="18">
      <c r="A18" s="9" t="inlineStr">
        <is>
          <t>Упаковка и расходники</t>
        </is>
      </c>
      <c r="B18" s="10" t="n">
        <v>1200</v>
      </c>
      <c r="C18" s="10" t="n">
        <v>2000</v>
      </c>
      <c r="D18" s="10" t="n">
        <v>3000</v>
      </c>
      <c r="E18" s="10" t="n">
        <v>3500</v>
      </c>
      <c r="F18" s="10" t="n">
        <v>4000</v>
      </c>
      <c r="G18" s="10" t="n">
        <v>4500</v>
      </c>
      <c r="H18" s="14">
        <f>SUM(B18:G18)</f>
        <v/>
      </c>
    </row>
    <row r="19">
      <c r="A19" s="9" t="inlineStr">
        <is>
          <t>Продвижение (Авито, реклама)</t>
        </is>
      </c>
      <c r="B19" s="10" t="n">
        <v>0</v>
      </c>
      <c r="C19" s="10" t="n">
        <v>1500</v>
      </c>
      <c r="D19" s="10" t="n">
        <v>3000</v>
      </c>
      <c r="E19" s="10" t="n">
        <v>4000</v>
      </c>
      <c r="F19" s="10" t="n">
        <v>4500</v>
      </c>
      <c r="G19" s="10" t="n">
        <v>5000</v>
      </c>
      <c r="H19" s="14">
        <f>SUM(B19:G19)</f>
        <v/>
      </c>
    </row>
    <row r="20">
      <c r="A20" s="9" t="inlineStr">
        <is>
          <t>Витрина, ценники, мелочи</t>
        </is>
      </c>
      <c r="B20" s="10" t="n">
        <v>3000</v>
      </c>
      <c r="C20" s="10" t="n">
        <v>500</v>
      </c>
      <c r="D20" s="10" t="n">
        <v>500</v>
      </c>
      <c r="E20" s="10" t="n">
        <v>500</v>
      </c>
      <c r="F20" s="10" t="n">
        <v>500</v>
      </c>
      <c r="G20" s="10" t="n">
        <v>500</v>
      </c>
      <c r="H20" s="14">
        <f>SUM(B20:G20)</f>
        <v/>
      </c>
    </row>
    <row r="21">
      <c r="A21" s="9" t="inlineStr">
        <is>
          <t>Резерв на ремонт</t>
        </is>
      </c>
      <c r="B21" s="10" t="n">
        <v>0</v>
      </c>
      <c r="C21" s="10" t="n">
        <v>1000</v>
      </c>
      <c r="D21" s="10" t="n">
        <v>1000</v>
      </c>
      <c r="E21" s="10" t="n">
        <v>1000</v>
      </c>
      <c r="F21" s="10" t="n">
        <v>1000</v>
      </c>
      <c r="G21" s="10" t="n">
        <v>1000</v>
      </c>
      <c r="H21" s="14">
        <f>SUM(B21:G21)</f>
        <v/>
      </c>
    </row>
    <row r="22">
      <c r="A22" s="9" t="inlineStr">
        <is>
          <t>Налог самозанятого, %</t>
        </is>
      </c>
      <c r="B22" s="15" t="n">
        <v>5</v>
      </c>
      <c r="C22" s="15" t="n">
        <v>5</v>
      </c>
      <c r="D22" s="15" t="n">
        <v>5</v>
      </c>
      <c r="E22" s="15" t="n">
        <v>5</v>
      </c>
      <c r="F22" s="15" t="n">
        <v>5</v>
      </c>
      <c r="G22" s="15" t="n">
        <v>5</v>
      </c>
    </row>
    <row r="23">
      <c r="A23" s="9" t="inlineStr">
        <is>
          <t>Налог, ₽</t>
        </is>
      </c>
      <c r="B23" s="16">
        <f>B13*B22/100</f>
        <v/>
      </c>
      <c r="C23" s="16">
        <f>C13*C22/100</f>
        <v/>
      </c>
      <c r="D23" s="16">
        <f>D13*D22/100</f>
        <v/>
      </c>
      <c r="E23" s="16">
        <f>E13*E22/100</f>
        <v/>
      </c>
      <c r="F23" s="16">
        <f>F13*F22/100</f>
        <v/>
      </c>
      <c r="G23" s="16">
        <f>G13*G22/100</f>
        <v/>
      </c>
    </row>
    <row r="24">
      <c r="A24" s="2" t="inlineStr">
        <is>
          <t>РАСХОДЫ ВСЕГО</t>
        </is>
      </c>
      <c r="B24" s="12">
        <f>SUM(B16:B21)+B23</f>
        <v/>
      </c>
      <c r="C24" s="12">
        <f>SUM(C16:C21)+C23</f>
        <v/>
      </c>
      <c r="D24" s="12">
        <f>SUM(D16:D21)+D23</f>
        <v/>
      </c>
      <c r="E24" s="12">
        <f>SUM(E16:E21)+E23</f>
        <v/>
      </c>
      <c r="F24" s="12">
        <f>SUM(F16:F21)+F23</f>
        <v/>
      </c>
      <c r="G24" s="12">
        <f>SUM(G16:G21)+G23</f>
        <v/>
      </c>
      <c r="H24" s="13">
        <f>SUM(B24:G24)</f>
        <v/>
      </c>
    </row>
    <row r="26" ht="20" customHeight="1">
      <c r="A26" s="7" t="inlineStr">
        <is>
          <t>РЕЗУЛЬТАТ</t>
        </is>
      </c>
    </row>
    <row r="27">
      <c r="A27" s="2" t="inlineStr">
        <is>
          <t>ПРИБЫЛЬ ЗА МЕСЯЦ</t>
        </is>
      </c>
      <c r="B27" s="12">
        <f>B13-B24</f>
        <v/>
      </c>
      <c r="C27" s="12">
        <f>C13-C24</f>
        <v/>
      </c>
      <c r="D27" s="12">
        <f>D13-D24</f>
        <v/>
      </c>
      <c r="E27" s="12">
        <f>E13-E24</f>
        <v/>
      </c>
      <c r="F27" s="12">
        <f>F13-F24</f>
        <v/>
      </c>
      <c r="G27" s="12">
        <f>G13-G24</f>
        <v/>
      </c>
      <c r="H27" s="13">
        <f>SUM(B27:G27)</f>
        <v/>
      </c>
    </row>
    <row r="28">
      <c r="A28" s="2" t="inlineStr">
        <is>
          <t>Накопленная прибыль</t>
        </is>
      </c>
      <c r="B28" s="16">
        <f>B27</f>
        <v/>
      </c>
      <c r="C28" s="16">
        <f>B28+C27</f>
        <v/>
      </c>
      <c r="D28" s="16">
        <f>C28+D27</f>
        <v/>
      </c>
      <c r="E28" s="16">
        <f>D28+E27</f>
        <v/>
      </c>
      <c r="F28" s="16">
        <f>E28+F27</f>
        <v/>
      </c>
      <c r="G28" s="16">
        <f>F28+G27</f>
        <v/>
      </c>
    </row>
    <row r="29">
      <c r="A29" s="2" t="inlineStr">
        <is>
          <t>Осталось отбить, ₽</t>
        </is>
      </c>
      <c r="B29" s="17">
        <f>$B$3-B28</f>
        <v/>
      </c>
      <c r="C29" s="17">
        <f>$B$3-C28</f>
        <v/>
      </c>
      <c r="D29" s="17">
        <f>$B$3-D28</f>
        <v/>
      </c>
      <c r="E29" s="17">
        <f>$B$3-E28</f>
        <v/>
      </c>
      <c r="F29" s="17">
        <f>$B$3-F28</f>
        <v/>
      </c>
      <c r="G29" s="17">
        <f>$B$3-G28</f>
        <v/>
      </c>
    </row>
    <row r="30">
      <c r="A30" s="2" t="inlineStr">
        <is>
          <t>Статус</t>
        </is>
      </c>
      <c r="B30" s="18">
        <f>IF(B29&lt;=0,"ОКУПИЛСЯ","в минусе")</f>
        <v/>
      </c>
      <c r="C30" s="18">
        <f>IF(C29&lt;=0,"ОКУПИЛСЯ","в минусе")</f>
        <v/>
      </c>
      <c r="D30" s="18">
        <f>IF(D29&lt;=0,"ОКУПИЛСЯ","в минусе")</f>
        <v/>
      </c>
      <c r="E30" s="18">
        <f>IF(E29&lt;=0,"ОКУПИЛСЯ","в минусе")</f>
        <v/>
      </c>
      <c r="F30" s="18">
        <f>IF(F29&lt;=0,"ОКУПИЛСЯ","в минусе")</f>
        <v/>
      </c>
      <c r="G30" s="18">
        <f>IF(G29&lt;=0,"ОКУПИЛСЯ","в минусе")</f>
        <v/>
      </c>
    </row>
    <row r="32">
      <c r="A32" s="2" t="inlineStr">
        <is>
          <t>Месяц выхода в плюс:</t>
        </is>
      </c>
      <c r="B32" s="19">
        <f>IFERROR(MATCH(TRUE,INDEX(B29:G29&lt;=0,0),0),"позже 6 мес")</f>
        <v/>
      </c>
    </row>
  </sheetData>
  <mergeCells count="4">
    <mergeCell ref="A7:H7"/>
    <mergeCell ref="A26:H26"/>
    <mergeCell ref="A15:H15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2" customWidth="1" min="3" max="3"/>
  </cols>
  <sheetData>
    <row r="1" ht="28" customHeight="1">
      <c r="A1" s="1" t="inlineStr">
        <is>
          <t>КАЛЬКУЛЯТОР СТОИМОСТИ ЗАКАЗА</t>
        </is>
      </c>
    </row>
    <row r="2">
      <c r="A2" s="20" t="inlineStr">
        <is>
          <t>Заполняй только ЖЁЛТОЕ. Зелёное считается само.</t>
        </is>
      </c>
    </row>
    <row r="4" ht="20" customHeight="1">
      <c r="A4" s="7" t="inlineStr">
        <is>
          <t>ПАРАМЕТРЫ ЗАКАЗА</t>
        </is>
      </c>
    </row>
    <row r="5">
      <c r="A5" s="9" t="inlineStr">
        <is>
          <t>Вес изделия, г</t>
        </is>
      </c>
      <c r="B5" s="21" t="inlineStr">
        <is>
          <t>60</t>
        </is>
      </c>
      <c r="C5" s="22" t="inlineStr">
        <is>
          <t>из слайсера Bambu Studio</t>
        </is>
      </c>
    </row>
    <row r="6">
      <c r="A6" s="9" t="inlineStr">
        <is>
          <t>Время печати, часов</t>
        </is>
      </c>
      <c r="B6" s="23" t="n">
        <v>2.5</v>
      </c>
      <c r="C6" s="22" t="inlineStr">
        <is>
          <t>оттуда же (P1S быстрый!)</t>
        </is>
      </c>
    </row>
    <row r="7">
      <c r="A7" s="9" t="inlineStr">
        <is>
          <t>Цена катушки, ₽</t>
        </is>
      </c>
      <c r="B7" s="24" t="n">
        <v>1500</v>
      </c>
      <c r="C7" s="22" t="inlineStr">
        <is>
          <t>сколько реально заплатил за 1 кг</t>
        </is>
      </c>
    </row>
    <row r="8">
      <c r="A8" s="9" t="inlineStr">
        <is>
          <t>Вес катушки, г</t>
        </is>
      </c>
      <c r="B8" s="24" t="n">
        <v>1000</v>
      </c>
      <c r="C8" s="22" t="inlineStr"/>
    </row>
    <row r="9">
      <c r="A9" s="9" t="inlineStr">
        <is>
          <t>Количество, шт</t>
        </is>
      </c>
      <c r="B9" s="25" t="n">
        <v>1</v>
      </c>
      <c r="C9" s="22" t="inlineStr"/>
    </row>
    <row r="11" ht="20" customHeight="1">
      <c r="A11" s="7" t="inlineStr">
        <is>
          <t>ИЗДЕРЖКИ (настрой один раз)</t>
        </is>
      </c>
    </row>
    <row r="12">
      <c r="A12" s="9" t="inlineStr">
        <is>
          <t>Брак / перепечатка, %</t>
        </is>
      </c>
      <c r="B12" s="25" t="n">
        <v>8</v>
      </c>
      <c r="C12" s="22" t="inlineStr">
        <is>
          <t>P1S надёжный, 8-10% достаточно</t>
        </is>
      </c>
    </row>
    <row r="13">
      <c r="A13" s="9" t="inlineStr">
        <is>
          <t>Амортизация принтера, ₽/час</t>
        </is>
      </c>
      <c r="B13" s="21" t="n">
        <v>12</v>
      </c>
      <c r="C13" s="22" t="inlineStr">
        <is>
          <t>70000₽ / ~6000 часов ресурса</t>
        </is>
      </c>
    </row>
    <row r="14">
      <c r="A14" s="9" t="inlineStr">
        <is>
          <t>Электричество, ₽/час</t>
        </is>
      </c>
      <c r="B14" s="21" t="n">
        <v>3.5</v>
      </c>
      <c r="C14" s="22" t="inlineStr"/>
    </row>
    <row r="15">
      <c r="A15" s="9" t="inlineStr">
        <is>
          <t>Твоя работа, мин</t>
        </is>
      </c>
      <c r="B15" s="25" t="n">
        <v>20</v>
      </c>
      <c r="C15" s="22" t="inlineStr">
        <is>
          <t>снять, зачистить, упаковать</t>
        </is>
      </c>
    </row>
    <row r="16">
      <c r="A16" s="9" t="inlineStr">
        <is>
          <t>Оценка своего часа, ₽</t>
        </is>
      </c>
      <c r="B16" s="24" t="n">
        <v>500</v>
      </c>
      <c r="C16" s="22" t="inlineStr"/>
    </row>
    <row r="17">
      <c r="A17" s="9" t="inlineStr">
        <is>
          <t>Расходники, ₽</t>
        </is>
      </c>
      <c r="B17" s="25" t="n">
        <v>15</v>
      </c>
      <c r="C17" s="22" t="inlineStr"/>
    </row>
    <row r="18">
      <c r="A18" s="9" t="inlineStr">
        <is>
          <t>Упаковка, ₽</t>
        </is>
      </c>
      <c r="B18" s="25" t="n">
        <v>40</v>
      </c>
      <c r="C18" s="22" t="inlineStr"/>
    </row>
    <row r="20" ht="20" customHeight="1">
      <c r="A20" s="7" t="inlineStr">
        <is>
          <t>СЕБЕСТОИМОСТЬ</t>
        </is>
      </c>
    </row>
    <row r="21">
      <c r="A21" s="9" t="inlineStr">
        <is>
          <t>Пластик с браком, ₽</t>
        </is>
      </c>
      <c r="B21" s="26">
        <f>B5/B8*B7*(1+B12/100)</f>
        <v/>
      </c>
      <c r="C21" s="22" t="inlineStr"/>
    </row>
    <row r="22">
      <c r="A22" s="9" t="inlineStr">
        <is>
          <t>Амортизация, ₽</t>
        </is>
      </c>
      <c r="B22" s="26">
        <f>B6*B13*(1+B12/100)</f>
        <v/>
      </c>
      <c r="C22" s="22" t="inlineStr"/>
    </row>
    <row r="23">
      <c r="A23" s="9" t="inlineStr">
        <is>
          <t>Электричество, ₽</t>
        </is>
      </c>
      <c r="B23" s="26">
        <f>B6*B14*(1+B12/100)</f>
        <v/>
      </c>
      <c r="C23" s="22" t="inlineStr"/>
    </row>
    <row r="24">
      <c r="A24" s="9" t="inlineStr">
        <is>
          <t>Твой труд, ₽</t>
        </is>
      </c>
      <c r="B24" s="26">
        <f>B15/60*B16</f>
        <v/>
      </c>
      <c r="C24" s="22" t="inlineStr"/>
    </row>
    <row r="25">
      <c r="A25" s="9" t="inlineStr">
        <is>
          <t>Расходники + упаковка, ₽</t>
        </is>
      </c>
      <c r="B25" s="26">
        <f>B17+B18</f>
        <v/>
      </c>
      <c r="C25" s="22" t="inlineStr"/>
    </row>
    <row r="26">
      <c r="A26" s="27" t="inlineStr">
        <is>
          <t>СЕБЕСТОИМОСТЬ 1 шт, ₽</t>
        </is>
      </c>
      <c r="B26" s="28">
        <f>SUM(B21:B25)</f>
        <v/>
      </c>
      <c r="C26" s="22" t="inlineStr"/>
    </row>
    <row r="28" ht="20" customHeight="1">
      <c r="A28" s="7" t="inlineStr">
        <is>
          <t>ЦЕНА</t>
        </is>
      </c>
    </row>
    <row r="29">
      <c r="A29" s="9" t="inlineStr">
        <is>
          <t>Наценка, %</t>
        </is>
      </c>
      <c r="B29" s="25" t="n">
        <v>120</v>
      </c>
      <c r="C29" s="22" t="inlineStr">
        <is>
          <t>120-150% для штучных заказов</t>
        </is>
      </c>
    </row>
    <row r="30">
      <c r="A30" s="9" t="inlineStr">
        <is>
          <t>Комиссия площадки, %</t>
        </is>
      </c>
      <c r="B30" s="25" t="n">
        <v>0</v>
      </c>
      <c r="C30" s="22" t="inlineStr">
        <is>
          <t>для Авито Доставки поставь свою</t>
        </is>
      </c>
    </row>
    <row r="31">
      <c r="A31" s="9" t="inlineStr">
        <is>
          <t>Цена расчётная, ₽</t>
        </is>
      </c>
      <c r="B31" s="26">
        <f>B26*(1+B29/100)/(1-B30/100)</f>
        <v/>
      </c>
      <c r="C31" s="22" t="inlineStr"/>
    </row>
    <row r="32">
      <c r="A32" s="27" t="inlineStr">
        <is>
          <t>Цена округлённая, ₽</t>
        </is>
      </c>
      <c r="B32" s="29">
        <f>CEILING(B31,10)</f>
        <v/>
      </c>
      <c r="C32" s="22" t="inlineStr"/>
    </row>
    <row r="33">
      <c r="A33" s="27" t="inlineStr">
        <is>
          <t>ИТОГО ЗА ЗАКАЗ, ₽</t>
        </is>
      </c>
      <c r="B33" s="30">
        <f>B32*B9</f>
        <v/>
      </c>
      <c r="C33" s="22" t="inlineStr"/>
    </row>
    <row r="35" ht="20" customHeight="1">
      <c r="A35" s="7" t="inlineStr">
        <is>
          <t>ПРОВЕРКА — смотри сюда до того, как назвал цену</t>
        </is>
      </c>
    </row>
    <row r="36">
      <c r="A36" s="27" t="inlineStr">
        <is>
          <t>Прибыль с заказа, ₽</t>
        </is>
      </c>
      <c r="B36" s="28">
        <f>B33-B26*B9</f>
        <v/>
      </c>
      <c r="C36" s="22" t="inlineStr"/>
    </row>
    <row r="37">
      <c r="A37" s="27" t="inlineStr">
        <is>
          <t>Заработок в час печати, ₽</t>
        </is>
      </c>
      <c r="B37" s="28">
        <f>IF(B6=0,0,(B33-B26*B9)/(B6*B9))</f>
        <v/>
      </c>
      <c r="C37" s="22" t="inlineStr">
        <is>
          <t>НОРМА 250-500. Меньше 100 — отказывайся</t>
        </is>
      </c>
    </row>
    <row r="38">
      <c r="A38" s="9" t="inlineStr">
        <is>
          <t>Оценка ₽/грамм</t>
        </is>
      </c>
      <c r="B38" s="26">
        <f>IF(B5=0,0,B32/B5)</f>
        <v/>
      </c>
      <c r="C38" s="22" t="inlineStr">
        <is>
          <t>сверься с прайсом</t>
        </is>
      </c>
    </row>
    <row r="39">
      <c r="A39" s="27" t="inlineStr">
        <is>
          <t>МИНИМУМ, ниже нельзя, ₽</t>
        </is>
      </c>
      <c r="B39" s="31">
        <f>MAX(400,CEILING(B26*1.4,10))</f>
        <v/>
      </c>
      <c r="C39" s="22" t="inlineStr">
        <is>
          <t>минималка 400 ₽</t>
        </is>
      </c>
    </row>
    <row r="41">
      <c r="A41" s="32" t="inlineStr">
        <is>
          <t>Торгуются — не роняй цену, а меняй условия (заливка 10%, слой 0.28) и пересчитай.</t>
        </is>
      </c>
    </row>
  </sheetData>
  <mergeCells count="8">
    <mergeCell ref="A28:C28"/>
    <mergeCell ref="A41:C41"/>
    <mergeCell ref="A11:C11"/>
    <mergeCell ref="A1:C1"/>
    <mergeCell ref="A35:C35"/>
    <mergeCell ref="A4:C4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50" customWidth="1" min="3" max="3"/>
  </cols>
  <sheetData>
    <row r="1" ht="28" customHeight="1">
      <c r="A1" s="1" t="inlineStr">
        <is>
          <t>ПРАЙС-ЛИСТ</t>
        </is>
      </c>
    </row>
    <row r="3" ht="20" customHeight="1">
      <c r="A3" s="7" t="inlineStr">
        <is>
          <t>ПЕЧАТЬ ПО МОДЕЛИ КЛИЕНТА</t>
        </is>
      </c>
    </row>
    <row r="4">
      <c r="A4" s="9" t="inlineStr">
        <is>
          <t>PLA</t>
        </is>
      </c>
      <c r="B4" s="18" t="inlineStr">
        <is>
          <t>30 ₽/г</t>
        </is>
      </c>
      <c r="C4" s="22" t="inlineStr">
        <is>
          <t>база: декор, макеты, фигурки</t>
        </is>
      </c>
    </row>
    <row r="5">
      <c r="A5" s="9" t="inlineStr">
        <is>
          <t>PETG</t>
        </is>
      </c>
      <c r="B5" s="18" t="inlineStr">
        <is>
          <t>40 ₽/г</t>
        </is>
      </c>
      <c r="C5" s="22" t="inlineStr">
        <is>
          <t>влага, нагрузка, улица</t>
        </is>
      </c>
    </row>
    <row r="6">
      <c r="A6" s="9" t="inlineStr">
        <is>
          <t>ABS / ASA</t>
        </is>
      </c>
      <c r="B6" s="18" t="inlineStr">
        <is>
          <t>55 ₽/г</t>
        </is>
      </c>
      <c r="C6" s="22" t="inlineStr">
        <is>
          <t>закрытая камера P1S — конкуренты не могут!</t>
        </is>
      </c>
    </row>
    <row r="7">
      <c r="A7" s="9" t="inlineStr">
        <is>
          <t>PLA спец (шёлк, глоу, градиент)</t>
        </is>
      </c>
      <c r="B7" s="18" t="inlineStr">
        <is>
          <t>45 ₽/г</t>
        </is>
      </c>
      <c r="C7" s="22" t="inlineStr"/>
    </row>
    <row r="8">
      <c r="A8" s="9" t="inlineStr">
        <is>
          <t>TPU гибкий</t>
        </is>
      </c>
      <c r="B8" s="18" t="inlineStr">
        <is>
          <t>60 ₽/г</t>
        </is>
      </c>
      <c r="C8" s="22" t="inlineStr"/>
    </row>
    <row r="9">
      <c r="A9" s="9" t="inlineStr">
        <is>
          <t>МИНИМАЛЬНЫЙ ЗАКАЗ</t>
        </is>
      </c>
      <c r="B9" s="18" t="inlineStr">
        <is>
          <t>400 ₽</t>
        </is>
      </c>
      <c r="C9" s="22" t="inlineStr">
        <is>
          <t>железно</t>
        </is>
      </c>
    </row>
    <row r="10" ht="20" customHeight="1">
      <c r="A10" s="7" t="inlineStr">
        <is>
          <t>НАДБАВКИ</t>
        </is>
      </c>
    </row>
    <row r="11">
      <c r="A11" s="9" t="inlineStr">
        <is>
          <t>Слой 0,1 мм</t>
        </is>
      </c>
      <c r="B11" s="18" t="inlineStr">
        <is>
          <t>+30%</t>
        </is>
      </c>
      <c r="C11" s="22" t="inlineStr"/>
    </row>
    <row r="12">
      <c r="A12" s="9" t="inlineStr">
        <is>
          <t>Срочно за сутки</t>
        </is>
      </c>
      <c r="B12" s="18" t="inlineStr">
        <is>
          <t>+50%</t>
        </is>
      </c>
      <c r="C12" s="22" t="inlineStr">
        <is>
          <t>с P1S легко — продавай активнее</t>
        </is>
      </c>
    </row>
    <row r="13">
      <c r="A13" s="9" t="inlineStr">
        <is>
          <t>Малая партия ASA/ABS</t>
        </is>
      </c>
      <c r="B13" s="18" t="inlineStr">
        <is>
          <t>+200 ₽</t>
        </is>
      </c>
      <c r="C13" s="22" t="inlineStr">
        <is>
          <t>прогрев камеры</t>
        </is>
      </c>
    </row>
    <row r="14">
      <c r="A14" s="9" t="inlineStr">
        <is>
          <t>Постобработка</t>
        </is>
      </c>
      <c r="B14" s="18" t="inlineStr">
        <is>
          <t>от 300 ₽</t>
        </is>
      </c>
      <c r="C14" s="22" t="inlineStr"/>
    </row>
    <row r="15">
      <c r="A15" s="9" t="inlineStr">
        <is>
          <t>Покраска</t>
        </is>
      </c>
      <c r="B15" s="18" t="inlineStr">
        <is>
          <t>от 500 ₽</t>
        </is>
      </c>
      <c r="C15" s="22" t="inlineStr"/>
    </row>
    <row r="16" ht="20" customHeight="1">
      <c r="A16" s="7" t="inlineStr">
        <is>
          <t>СКИДКИ</t>
        </is>
      </c>
    </row>
    <row r="17">
      <c r="A17" s="9" t="inlineStr">
        <is>
          <t>от 5 шт</t>
        </is>
      </c>
      <c r="B17" s="18" t="inlineStr">
        <is>
          <t>-10%</t>
        </is>
      </c>
      <c r="C17" s="22" t="inlineStr"/>
    </row>
    <row r="18">
      <c r="A18" s="9" t="inlineStr">
        <is>
          <t>от 10 шт</t>
        </is>
      </c>
      <c r="B18" s="18" t="inlineStr">
        <is>
          <t>-15%</t>
        </is>
      </c>
      <c r="C18" s="22" t="inlineStr"/>
    </row>
    <row r="19">
      <c r="A19" s="9" t="inlineStr">
        <is>
          <t>от 20 шт</t>
        </is>
      </c>
      <c r="B19" s="18" t="inlineStr">
        <is>
          <t>-20%</t>
        </is>
      </c>
      <c r="C19" s="22" t="inlineStr"/>
    </row>
    <row r="20" ht="20" customHeight="1">
      <c r="A20" s="7" t="inlineStr">
        <is>
          <t>МОДЕЛИРОВАНИЕ</t>
        </is>
      </c>
    </row>
    <row r="21">
      <c r="A21" s="9" t="inlineStr">
        <is>
          <t>Правка чужого STL</t>
        </is>
      </c>
      <c r="B21" s="18" t="inlineStr">
        <is>
          <t>500 ₽</t>
        </is>
      </c>
      <c r="C21" s="22" t="inlineStr"/>
    </row>
    <row r="22">
      <c r="A22" s="9" t="inlineStr">
        <is>
          <t>Сборка из готовых компонентов</t>
        </is>
      </c>
      <c r="B22" s="18" t="inlineStr">
        <is>
          <t>1 000 ₽</t>
        </is>
      </c>
      <c r="C22" s="22" t="inlineStr"/>
    </row>
    <row r="23">
      <c r="A23" s="9" t="inlineStr">
        <is>
          <t>Простая деталь</t>
        </is>
      </c>
      <c r="B23" s="18" t="inlineStr">
        <is>
          <t>от 1 500 ₽</t>
        </is>
      </c>
      <c r="C23" s="22" t="inlineStr"/>
    </row>
    <row r="24">
      <c r="A24" s="9" t="inlineStr">
        <is>
          <t>По образцу с обмером</t>
        </is>
      </c>
      <c r="B24" s="18" t="inlineStr">
        <is>
          <t>от 2 500 ₽</t>
        </is>
      </c>
      <c r="C24" s="22" t="inlineStr">
        <is>
          <t>фото с линейкой</t>
        </is>
      </c>
    </row>
    <row r="25">
      <c r="A25" s="9" t="inlineStr">
        <is>
          <t>Персонализация (имя, лого)</t>
        </is>
      </c>
      <c r="B25" s="18" t="inlineStr">
        <is>
          <t>300-800 ₽</t>
        </is>
      </c>
      <c r="C25" s="22" t="inlineStr">
        <is>
          <t>высокая маржа!</t>
        </is>
      </c>
    </row>
    <row r="26">
      <c r="A26" s="9" t="inlineStr">
        <is>
          <t>Фигурка / персонаж</t>
        </is>
      </c>
      <c r="B26" s="18" t="inlineStr">
        <is>
          <t>от 4 000 ₽</t>
        </is>
      </c>
      <c r="C26" s="22" t="inlineStr"/>
    </row>
    <row r="27" ht="20" customHeight="1">
      <c r="A27" s="7" t="inlineStr">
        <is>
          <t>ПОЛКА В МАГАЗИНЕ (розница)</t>
        </is>
      </c>
    </row>
    <row r="28">
      <c r="A28" s="9" t="inlineStr">
        <is>
          <t>Мини-фигурки в корзинке</t>
        </is>
      </c>
      <c r="B28" s="18" t="inlineStr">
        <is>
          <t>150 ₽</t>
        </is>
      </c>
      <c r="C28" s="22" t="inlineStr">
        <is>
          <t>импульс</t>
        </is>
      </c>
    </row>
    <row r="29">
      <c r="A29" s="9" t="inlineStr">
        <is>
          <t>Фиджеты, крутилки</t>
        </is>
      </c>
      <c r="B29" s="18" t="inlineStr">
        <is>
          <t>250-400 ₽</t>
        </is>
      </c>
      <c r="C29" s="22" t="inlineStr"/>
    </row>
    <row r="30">
      <c r="A30" s="9" t="inlineStr">
        <is>
          <t>Артикулированная змея/ящерица</t>
        </is>
      </c>
      <c r="B30" s="18" t="inlineStr">
        <is>
          <t>200-350 ₽</t>
        </is>
      </c>
      <c r="C30" s="22" t="inlineStr"/>
    </row>
    <row r="31">
      <c r="A31" s="9" t="inlineStr">
        <is>
          <t>Артикулированный дракон</t>
        </is>
      </c>
      <c r="B31" s="18" t="inlineStr">
        <is>
          <t>300-450 ₽</t>
        </is>
      </c>
      <c r="C31" s="22" t="inlineStr">
        <is>
          <t>ХИТ — дай в руки покупателю</t>
        </is>
      </c>
    </row>
    <row r="32">
      <c r="A32" s="9" t="inlineStr">
        <is>
          <t>Именной брелок</t>
        </is>
      </c>
      <c r="B32" s="18" t="inlineStr">
        <is>
          <t>350 ₽</t>
        </is>
      </c>
      <c r="C32" s="22" t="inlineStr">
        <is>
          <t>витрина персонализации</t>
        </is>
      </c>
    </row>
    <row r="33">
      <c r="A33" s="9" t="inlineStr">
        <is>
          <t>Крючки, клипсы, мелочь быта</t>
        </is>
      </c>
      <c r="B33" s="18" t="inlineStr">
        <is>
          <t>150-300 ₽</t>
        </is>
      </c>
      <c r="C33" s="22" t="inlineStr">
        <is>
          <t>расходуются → берут повторно</t>
        </is>
      </c>
    </row>
    <row r="34">
      <c r="A34" s="9" t="inlineStr">
        <is>
          <t>Подставка под телефон</t>
        </is>
      </c>
      <c r="B34" s="18" t="inlineStr">
        <is>
          <t>350 ₽</t>
        </is>
      </c>
      <c r="C34" s="22" t="inlineStr"/>
    </row>
    <row r="35">
      <c r="A35" s="9" t="inlineStr">
        <is>
          <t>Органайзер / ключница</t>
        </is>
      </c>
      <c r="B35" s="18" t="inlineStr">
        <is>
          <t>400-600 ₽</t>
        </is>
      </c>
      <c r="C35" s="22" t="inlineStr"/>
    </row>
    <row r="36">
      <c r="A36" s="9" t="inlineStr">
        <is>
          <t>Ваза-спираль</t>
        </is>
      </c>
      <c r="B36" s="18" t="inlineStr">
        <is>
          <t>500-800 ₽</t>
        </is>
      </c>
      <c r="C36" s="22" t="inlineStr">
        <is>
          <t>быстро печатается, выглядит дорого</t>
        </is>
      </c>
    </row>
    <row r="37">
      <c r="A37" s="9" t="inlineStr">
        <is>
          <t>Кот-Акула 8 см</t>
        </is>
      </c>
      <c r="B37" s="18" t="inlineStr">
        <is>
          <t>890 ₽</t>
        </is>
      </c>
      <c r="C37" s="22" t="inlineStr">
        <is>
          <t>флагман</t>
        </is>
      </c>
    </row>
    <row r="38">
      <c r="A38" s="9" t="inlineStr">
        <is>
          <t>Ночник</t>
        </is>
      </c>
      <c r="B38" s="18" t="inlineStr">
        <is>
          <t>700-1200 ₽</t>
        </is>
      </c>
      <c r="C38" s="22" t="inlineStr"/>
    </row>
    <row r="39">
      <c r="A39" s="9" t="inlineStr">
        <is>
          <t>Кот-Акула 12 см</t>
        </is>
      </c>
      <c r="B39" s="18" t="inlineStr">
        <is>
          <t>1 490 ₽</t>
        </is>
      </c>
      <c r="C39" s="22" t="inlineStr"/>
    </row>
    <row r="40">
      <c r="A40" s="9" t="inlineStr">
        <is>
          <t>Подарочный набор</t>
        </is>
      </c>
      <c r="B40" s="18" t="inlineStr">
        <is>
          <t>от 1 200 ₽</t>
        </is>
      </c>
      <c r="C40" s="22" t="inlineStr">
        <is>
          <t>средний чек х2</t>
        </is>
      </c>
    </row>
    <row r="41" ht="20" customHeight="1">
      <c r="A41" s="7" t="inlineStr">
        <is>
          <t>B2B И ПЕКАРНЯ</t>
        </is>
      </c>
    </row>
    <row r="42">
      <c r="A42" s="9" t="inlineStr">
        <is>
          <t>Топпер именной</t>
        </is>
      </c>
      <c r="B42" s="18" t="inlineStr">
        <is>
          <t>500 ₽</t>
        </is>
      </c>
      <c r="C42" s="22" t="inlineStr">
        <is>
          <t>~1200 ₽/час — лучшая маржа</t>
        </is>
      </c>
    </row>
    <row r="43">
      <c r="A43" s="9" t="inlineStr">
        <is>
          <t>Топпер по эскизу</t>
        </is>
      </c>
      <c r="B43" s="18" t="inlineStr">
        <is>
          <t>700-1200 ₽</t>
        </is>
      </c>
      <c r="C43" s="22" t="inlineStr"/>
    </row>
    <row r="44">
      <c r="A44" s="9" t="inlineStr">
        <is>
          <t>Вырубка для печенья</t>
        </is>
      </c>
      <c r="B44" s="18" t="inlineStr">
        <is>
          <t>250 ₽</t>
        </is>
      </c>
      <c r="C44" s="22" t="inlineStr"/>
    </row>
    <row r="45">
      <c r="A45" s="9" t="inlineStr">
        <is>
          <t>Набор вырубок тематический</t>
        </is>
      </c>
      <c r="B45" s="18" t="inlineStr">
        <is>
          <t>600-900 ₽</t>
        </is>
      </c>
      <c r="C45" s="22" t="inlineStr"/>
    </row>
    <row r="46">
      <c r="A46" s="9" t="inlineStr">
        <is>
          <t>Вырубка/штамп с логотипом</t>
        </is>
      </c>
      <c r="B46" s="18" t="inlineStr">
        <is>
          <t>1 000 ₽</t>
        </is>
      </c>
      <c r="C46" s="22" t="inlineStr">
        <is>
          <t>B2B для пекарен</t>
        </is>
      </c>
    </row>
    <row r="47">
      <c r="A47" s="9" t="inlineStr">
        <is>
          <t>Держатель ценника</t>
        </is>
      </c>
      <c r="B47" s="18" t="inlineStr">
        <is>
          <t>250 ₽ / 180 ₽ от 10 шт</t>
        </is>
      </c>
      <c r="C47" s="22" t="inlineStr"/>
    </row>
    <row r="48">
      <c r="A48" s="9" t="inlineStr">
        <is>
          <t>Комплект для кофейни/салона</t>
        </is>
      </c>
      <c r="B48" s="18" t="inlineStr">
        <is>
          <t>от 3 000 ₽</t>
        </is>
      </c>
      <c r="C48" s="22" t="inlineStr"/>
    </row>
    <row r="49">
      <c r="A49" s="9" t="inlineStr">
        <is>
          <t>Абонемент 10 топперов/мес</t>
        </is>
      </c>
      <c r="B49" s="18" t="inlineStr">
        <is>
          <t>4 000 ₽</t>
        </is>
      </c>
      <c r="C49" s="22" t="inlineStr">
        <is>
          <t>привязывает клиента</t>
        </is>
      </c>
    </row>
  </sheetData>
  <mergeCells count="7">
    <mergeCell ref="A10:C10"/>
    <mergeCell ref="A41:C41"/>
    <mergeCell ref="A1:C1"/>
    <mergeCell ref="A27:C27"/>
    <mergeCell ref="A3:C3"/>
    <mergeCell ref="A20:C20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30" customWidth="1" min="4" max="4"/>
    <col width="10" customWidth="1" min="5" max="5"/>
    <col width="9" customWidth="1" min="6" max="6"/>
    <col width="8" customWidth="1" min="7" max="7"/>
    <col width="11" customWidth="1" min="8" max="8"/>
    <col width="12" customWidth="1" min="9" max="9"/>
    <col width="12" customWidth="1" min="10" max="10"/>
    <col width="10" customWidth="1" min="11" max="11"/>
    <col width="9" customWidth="1" min="12" max="12"/>
    <col width="18" customWidth="1" min="14" max="14"/>
    <col width="14" customWidth="1" min="15" max="15"/>
  </cols>
  <sheetData>
    <row r="1" ht="30" customHeight="1">
      <c r="A1" s="33" t="inlineStr">
        <is>
          <t>Дата</t>
        </is>
      </c>
      <c r="B1" s="33" t="inlineStr">
        <is>
          <t>Канал</t>
        </is>
      </c>
      <c r="C1" s="33" t="inlineStr">
        <is>
          <t>Клиент</t>
        </is>
      </c>
      <c r="D1" s="33" t="inlineStr">
        <is>
          <t>Что печатали</t>
        </is>
      </c>
      <c r="E1" s="33" t="inlineStr">
        <is>
          <t>Материал</t>
        </is>
      </c>
      <c r="F1" s="33" t="inlineStr">
        <is>
          <t>Вес, г</t>
        </is>
      </c>
      <c r="G1" s="33" t="inlineStr">
        <is>
          <t>Часы</t>
        </is>
      </c>
      <c r="H1" s="33" t="inlineStr">
        <is>
          <t>Цена, ₽</t>
        </is>
      </c>
      <c r="I1" s="33" t="inlineStr">
        <is>
          <t>Себест., ₽</t>
        </is>
      </c>
      <c r="J1" s="33" t="inlineStr">
        <is>
          <t>Прибыль, ₽</t>
        </is>
      </c>
      <c r="K1" s="33" t="inlineStr">
        <is>
          <t>₽/час</t>
        </is>
      </c>
      <c r="L1" s="33" t="inlineStr">
        <is>
          <t>Отзыв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11">
        <f>IF(H2="","",H2-I2)</f>
        <v/>
      </c>
      <c r="K2" s="11">
        <f>IF(OR(G2="",G2=0),"",(H2-I2)/G2)</f>
        <v/>
      </c>
      <c r="L2" s="9" t="n"/>
      <c r="N2" s="2" t="inlineStr">
        <is>
          <t>Выручка</t>
        </is>
      </c>
      <c r="O2" s="14">
        <f>SUM(H2:H119)</f>
        <v/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11">
        <f>IF(H3="","",H3-I3)</f>
        <v/>
      </c>
      <c r="K3" s="11">
        <f>IF(OR(G3="",G3=0),"",(H3-I3)/G3)</f>
        <v/>
      </c>
      <c r="L3" s="9" t="n"/>
      <c r="N3" s="2" t="inlineStr">
        <is>
          <t>Прибыль</t>
        </is>
      </c>
      <c r="O3" s="14">
        <f>SUM(J2:J119)</f>
        <v/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11">
        <f>IF(H4="","",H4-I4)</f>
        <v/>
      </c>
      <c r="K4" s="11">
        <f>IF(OR(G4="",G4=0),"",(H4-I4)/G4)</f>
        <v/>
      </c>
      <c r="L4" s="9" t="n"/>
      <c r="N4" s="2" t="inlineStr">
        <is>
          <t>Заказов</t>
        </is>
      </c>
      <c r="O4">
        <f>COUNTA(A2:A119)</f>
        <v/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11">
        <f>IF(H5="","",H5-I5)</f>
        <v/>
      </c>
      <c r="K5" s="11">
        <f>IF(OR(G5="",G5=0),"",(H5-I5)/G5)</f>
        <v/>
      </c>
      <c r="L5" s="9" t="n"/>
      <c r="N5" s="2" t="inlineStr">
        <is>
          <t>Средний чек</t>
        </is>
      </c>
      <c r="O5" s="14">
        <f>IFERROR(O2/O4,0)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11">
        <f>IF(H6="","",H6-I6)</f>
        <v/>
      </c>
      <c r="K6" s="11">
        <f>IF(OR(G6="",G6=0),"",(H6-I6)/G6)</f>
        <v/>
      </c>
      <c r="L6" s="9" t="n"/>
      <c r="N6" s="2" t="inlineStr">
        <is>
          <t>Средний ₽/час</t>
        </is>
      </c>
      <c r="O6" s="14">
        <f>IFERROR(AVERAGE(K2:K119),0)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11">
        <f>IF(H7="","",H7-I7)</f>
        <v/>
      </c>
      <c r="K7" s="11">
        <f>IF(OR(G7="",G7=0),"",(H7-I7)/G7)</f>
        <v/>
      </c>
      <c r="L7" s="9" t="n"/>
      <c r="N7" s="2" t="inlineStr">
        <is>
          <t>Пластика, кг</t>
        </is>
      </c>
      <c r="O7" s="34">
        <f>SUM(F2:F119)/1000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11">
        <f>IF(H8="","",H8-I8)</f>
        <v/>
      </c>
      <c r="K8" s="11">
        <f>IF(OR(G8="",G8=0),"",(H8-I8)/G8)</f>
        <v/>
      </c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11">
        <f>IF(H9="","",H9-I9)</f>
        <v/>
      </c>
      <c r="K9" s="11">
        <f>IF(OR(G9="",G9=0),"",(H9-I9)/G9)</f>
        <v/>
      </c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11">
        <f>IF(H10="","",H10-I10)</f>
        <v/>
      </c>
      <c r="K10" s="11">
        <f>IF(OR(G10="",G10=0),"",(H10-I10)/G10)</f>
        <v/>
      </c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1">
        <f>IF(H11="","",H11-I11)</f>
        <v/>
      </c>
      <c r="K11" s="11">
        <f>IF(OR(G11="",G11=0),"",(H11-I11)/G11)</f>
        <v/>
      </c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1">
        <f>IF(H12="","",H12-I12)</f>
        <v/>
      </c>
      <c r="K12" s="11">
        <f>IF(OR(G12="",G12=0),"",(H12-I12)/G12)</f>
        <v/>
      </c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1">
        <f>IF(H13="","",H13-I13)</f>
        <v/>
      </c>
      <c r="K13" s="11">
        <f>IF(OR(G13="",G13=0),"",(H13-I13)/G13)</f>
        <v/>
      </c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1">
        <f>IF(H14="","",H14-I14)</f>
        <v/>
      </c>
      <c r="K14" s="11">
        <f>IF(OR(G14="",G14=0),"",(H14-I14)/G14)</f>
        <v/>
      </c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1">
        <f>IF(H15="","",H15-I15)</f>
        <v/>
      </c>
      <c r="K15" s="11">
        <f>IF(OR(G15="",G15=0),"",(H15-I15)/G15)</f>
        <v/>
      </c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1">
        <f>IF(H16="","",H16-I16)</f>
        <v/>
      </c>
      <c r="K16" s="11">
        <f>IF(OR(G16="",G16=0),"",(H16-I16)/G16)</f>
        <v/>
      </c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1">
        <f>IF(H17="","",H17-I17)</f>
        <v/>
      </c>
      <c r="K17" s="11">
        <f>IF(OR(G17="",G17=0),"",(H17-I17)/G17)</f>
        <v/>
      </c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1">
        <f>IF(H18="","",H18-I18)</f>
        <v/>
      </c>
      <c r="K18" s="11">
        <f>IF(OR(G18="",G18=0),"",(H18-I18)/G18)</f>
        <v/>
      </c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1">
        <f>IF(H19="","",H19-I19)</f>
        <v/>
      </c>
      <c r="K19" s="11">
        <f>IF(OR(G19="",G19=0),"",(H19-I19)/G19)</f>
        <v/>
      </c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1">
        <f>IF(H20="","",H20-I20)</f>
        <v/>
      </c>
      <c r="K20" s="11">
        <f>IF(OR(G20="",G20=0),"",(H20-I20)/G20)</f>
        <v/>
      </c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1">
        <f>IF(H21="","",H21-I21)</f>
        <v/>
      </c>
      <c r="K21" s="11">
        <f>IF(OR(G21="",G21=0),"",(H21-I21)/G21)</f>
        <v/>
      </c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1">
        <f>IF(H22="","",H22-I22)</f>
        <v/>
      </c>
      <c r="K22" s="11">
        <f>IF(OR(G22="",G22=0),"",(H22-I22)/G22)</f>
        <v/>
      </c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11">
        <f>IF(H23="","",H23-I23)</f>
        <v/>
      </c>
      <c r="K23" s="11">
        <f>IF(OR(G23="",G23=0),"",(H23-I23)/G23)</f>
        <v/>
      </c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11">
        <f>IF(H24="","",H24-I24)</f>
        <v/>
      </c>
      <c r="K24" s="11">
        <f>IF(OR(G24="",G24=0),"",(H24-I24)/G24)</f>
        <v/>
      </c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11">
        <f>IF(H25="","",H25-I25)</f>
        <v/>
      </c>
      <c r="K25" s="11">
        <f>IF(OR(G25="",G25=0),"",(H25-I25)/G25)</f>
        <v/>
      </c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11">
        <f>IF(H26="","",H26-I26)</f>
        <v/>
      </c>
      <c r="K26" s="11">
        <f>IF(OR(G26="",G26=0),"",(H26-I26)/G26)</f>
        <v/>
      </c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11">
        <f>IF(H27="","",H27-I27)</f>
        <v/>
      </c>
      <c r="K27" s="11">
        <f>IF(OR(G27="",G27=0),"",(H27-I27)/G27)</f>
        <v/>
      </c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11">
        <f>IF(H28="","",H28-I28)</f>
        <v/>
      </c>
      <c r="K28" s="11">
        <f>IF(OR(G28="",G28=0),"",(H28-I28)/G28)</f>
        <v/>
      </c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11">
        <f>IF(H29="","",H29-I29)</f>
        <v/>
      </c>
      <c r="K29" s="11">
        <f>IF(OR(G29="",G29=0),"",(H29-I29)/G29)</f>
        <v/>
      </c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11">
        <f>IF(H30="","",H30-I30)</f>
        <v/>
      </c>
      <c r="K30" s="11">
        <f>IF(OR(G30="",G30=0),"",(H30-I30)/G30)</f>
        <v/>
      </c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11">
        <f>IF(H31="","",H31-I31)</f>
        <v/>
      </c>
      <c r="K31" s="11">
        <f>IF(OR(G31="",G31=0),"",(H31-I31)/G31)</f>
        <v/>
      </c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11">
        <f>IF(H32="","",H32-I32)</f>
        <v/>
      </c>
      <c r="K32" s="11">
        <f>IF(OR(G32="",G32=0),"",(H32-I32)/G32)</f>
        <v/>
      </c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11">
        <f>IF(H33="","",H33-I33)</f>
        <v/>
      </c>
      <c r="K33" s="11">
        <f>IF(OR(G33="",G33=0),"",(H33-I33)/G33)</f>
        <v/>
      </c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11">
        <f>IF(H34="","",H34-I34)</f>
        <v/>
      </c>
      <c r="K34" s="11">
        <f>IF(OR(G34="",G34=0),"",(H34-I34)/G34)</f>
        <v/>
      </c>
      <c r="L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11">
        <f>IF(H35="","",H35-I35)</f>
        <v/>
      </c>
      <c r="K35" s="11">
        <f>IF(OR(G35="",G35=0),"",(H35-I35)/G35)</f>
        <v/>
      </c>
      <c r="L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11">
        <f>IF(H36="","",H36-I36)</f>
        <v/>
      </c>
      <c r="K36" s="11">
        <f>IF(OR(G36="",G36=0),"",(H36-I36)/G36)</f>
        <v/>
      </c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11">
        <f>IF(H37="","",H37-I37)</f>
        <v/>
      </c>
      <c r="K37" s="11">
        <f>IF(OR(G37="",G37=0),"",(H37-I37)/G37)</f>
        <v/>
      </c>
      <c r="L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11">
        <f>IF(H38="","",H38-I38)</f>
        <v/>
      </c>
      <c r="K38" s="11">
        <f>IF(OR(G38="",G38=0),"",(H38-I38)/G38)</f>
        <v/>
      </c>
      <c r="L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11">
        <f>IF(H39="","",H39-I39)</f>
        <v/>
      </c>
      <c r="K39" s="11">
        <f>IF(OR(G39="",G39=0),"",(H39-I39)/G39)</f>
        <v/>
      </c>
      <c r="L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11">
        <f>IF(H40="","",H40-I40)</f>
        <v/>
      </c>
      <c r="K40" s="11">
        <f>IF(OR(G40="",G40=0),"",(H40-I40)/G40)</f>
        <v/>
      </c>
      <c r="L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11">
        <f>IF(H41="","",H41-I41)</f>
        <v/>
      </c>
      <c r="K41" s="11">
        <f>IF(OR(G41="",G41=0),"",(H41-I41)/G41)</f>
        <v/>
      </c>
      <c r="L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11">
        <f>IF(H42="","",H42-I42)</f>
        <v/>
      </c>
      <c r="K42" s="11">
        <f>IF(OR(G42="",G42=0),"",(H42-I42)/G42)</f>
        <v/>
      </c>
      <c r="L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11">
        <f>IF(H43="","",H43-I43)</f>
        <v/>
      </c>
      <c r="K43" s="11">
        <f>IF(OR(G43="",G43=0),"",(H43-I43)/G43)</f>
        <v/>
      </c>
      <c r="L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11">
        <f>IF(H44="","",H44-I44)</f>
        <v/>
      </c>
      <c r="K44" s="11">
        <f>IF(OR(G44="",G44=0),"",(H44-I44)/G44)</f>
        <v/>
      </c>
      <c r="L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11">
        <f>IF(H45="","",H45-I45)</f>
        <v/>
      </c>
      <c r="K45" s="11">
        <f>IF(OR(G45="",G45=0),"",(H45-I45)/G45)</f>
        <v/>
      </c>
      <c r="L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11">
        <f>IF(H46="","",H46-I46)</f>
        <v/>
      </c>
      <c r="K46" s="11">
        <f>IF(OR(G46="",G46=0),"",(H46-I46)/G46)</f>
        <v/>
      </c>
      <c r="L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11">
        <f>IF(H47="","",H47-I47)</f>
        <v/>
      </c>
      <c r="K47" s="11">
        <f>IF(OR(G47="",G47=0),"",(H47-I47)/G47)</f>
        <v/>
      </c>
      <c r="L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11">
        <f>IF(H48="","",H48-I48)</f>
        <v/>
      </c>
      <c r="K48" s="11">
        <f>IF(OR(G48="",G48=0),"",(H48-I48)/G48)</f>
        <v/>
      </c>
      <c r="L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11">
        <f>IF(H49="","",H49-I49)</f>
        <v/>
      </c>
      <c r="K49" s="11">
        <f>IF(OR(G49="",G49=0),"",(H49-I49)/G49)</f>
        <v/>
      </c>
      <c r="L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11">
        <f>IF(H50="","",H50-I50)</f>
        <v/>
      </c>
      <c r="K50" s="11">
        <f>IF(OR(G50="",G50=0),"",(H50-I50)/G50)</f>
        <v/>
      </c>
      <c r="L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11">
        <f>IF(H51="","",H51-I51)</f>
        <v/>
      </c>
      <c r="K51" s="11">
        <f>IF(OR(G51="",G51=0),"",(H51-I51)/G51)</f>
        <v/>
      </c>
      <c r="L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11">
        <f>IF(H52="","",H52-I52)</f>
        <v/>
      </c>
      <c r="K52" s="11">
        <f>IF(OR(G52="",G52=0),"",(H52-I52)/G52)</f>
        <v/>
      </c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11">
        <f>IF(H53="","",H53-I53)</f>
        <v/>
      </c>
      <c r="K53" s="11">
        <f>IF(OR(G53="",G53=0),"",(H53-I53)/G53)</f>
        <v/>
      </c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11">
        <f>IF(H54="","",H54-I54)</f>
        <v/>
      </c>
      <c r="K54" s="11">
        <f>IF(OR(G54="",G54=0),"",(H54-I54)/G54)</f>
        <v/>
      </c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11">
        <f>IF(H55="","",H55-I55)</f>
        <v/>
      </c>
      <c r="K55" s="11">
        <f>IF(OR(G55="",G55=0),"",(H55-I55)/G55)</f>
        <v/>
      </c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11">
        <f>IF(H56="","",H56-I56)</f>
        <v/>
      </c>
      <c r="K56" s="11">
        <f>IF(OR(G56="",G56=0),"",(H56-I56)/G56)</f>
        <v/>
      </c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11">
        <f>IF(H57="","",H57-I57)</f>
        <v/>
      </c>
      <c r="K57" s="11">
        <f>IF(OR(G57="",G57=0),"",(H57-I57)/G57)</f>
        <v/>
      </c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11">
        <f>IF(H58="","",H58-I58)</f>
        <v/>
      </c>
      <c r="K58" s="11">
        <f>IF(OR(G58="",G58=0),"",(H58-I58)/G58)</f>
        <v/>
      </c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11">
        <f>IF(H59="","",H59-I59)</f>
        <v/>
      </c>
      <c r="K59" s="11">
        <f>IF(OR(G59="",G59=0),"",(H59-I59)/G59)</f>
        <v/>
      </c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11">
        <f>IF(H60="","",H60-I60)</f>
        <v/>
      </c>
      <c r="K60" s="11">
        <f>IF(OR(G60="",G60=0),"",(H60-I60)/G60)</f>
        <v/>
      </c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11">
        <f>IF(H61="","",H61-I61)</f>
        <v/>
      </c>
      <c r="K61" s="11">
        <f>IF(OR(G61="",G61=0),"",(H61-I61)/G61)</f>
        <v/>
      </c>
      <c r="L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11">
        <f>IF(H62="","",H62-I62)</f>
        <v/>
      </c>
      <c r="K62" s="11">
        <f>IF(OR(G62="",G62=0),"",(H62-I62)/G62)</f>
        <v/>
      </c>
      <c r="L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11">
        <f>IF(H63="","",H63-I63)</f>
        <v/>
      </c>
      <c r="K63" s="11">
        <f>IF(OR(G63="",G63=0),"",(H63-I63)/G63)</f>
        <v/>
      </c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11">
        <f>IF(H64="","",H64-I64)</f>
        <v/>
      </c>
      <c r="K64" s="11">
        <f>IF(OR(G64="",G64=0),"",(H64-I64)/G64)</f>
        <v/>
      </c>
      <c r="L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11">
        <f>IF(H65="","",H65-I65)</f>
        <v/>
      </c>
      <c r="K65" s="11">
        <f>IF(OR(G65="",G65=0),"",(H65-I65)/G65)</f>
        <v/>
      </c>
      <c r="L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11">
        <f>IF(H66="","",H66-I66)</f>
        <v/>
      </c>
      <c r="K66" s="11">
        <f>IF(OR(G66="",G66=0),"",(H66-I66)/G66)</f>
        <v/>
      </c>
      <c r="L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11">
        <f>IF(H67="","",H67-I67)</f>
        <v/>
      </c>
      <c r="K67" s="11">
        <f>IF(OR(G67="",G67=0),"",(H67-I67)/G67)</f>
        <v/>
      </c>
      <c r="L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11">
        <f>IF(H68="","",H68-I68)</f>
        <v/>
      </c>
      <c r="K68" s="11">
        <f>IF(OR(G68="",G68=0),"",(H68-I68)/G68)</f>
        <v/>
      </c>
      <c r="L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11">
        <f>IF(H69="","",H69-I69)</f>
        <v/>
      </c>
      <c r="K69" s="11">
        <f>IF(OR(G69="",G69=0),"",(H69-I69)/G69)</f>
        <v/>
      </c>
      <c r="L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11">
        <f>IF(H70="","",H70-I70)</f>
        <v/>
      </c>
      <c r="K70" s="11">
        <f>IF(OR(G70="",G70=0),"",(H70-I70)/G70)</f>
        <v/>
      </c>
      <c r="L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11">
        <f>IF(H71="","",H71-I71)</f>
        <v/>
      </c>
      <c r="K71" s="11">
        <f>IF(OR(G71="",G71=0),"",(H71-I71)/G71)</f>
        <v/>
      </c>
      <c r="L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11">
        <f>IF(H72="","",H72-I72)</f>
        <v/>
      </c>
      <c r="K72" s="11">
        <f>IF(OR(G72="",G72=0),"",(H72-I72)/G72)</f>
        <v/>
      </c>
      <c r="L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11">
        <f>IF(H73="","",H73-I73)</f>
        <v/>
      </c>
      <c r="K73" s="11">
        <f>IF(OR(G73="",G73=0),"",(H73-I73)/G73)</f>
        <v/>
      </c>
      <c r="L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11">
        <f>IF(H74="","",H74-I74)</f>
        <v/>
      </c>
      <c r="K74" s="11">
        <f>IF(OR(G74="",G74=0),"",(H74-I74)/G74)</f>
        <v/>
      </c>
      <c r="L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11">
        <f>IF(H75="","",H75-I75)</f>
        <v/>
      </c>
      <c r="K75" s="11">
        <f>IF(OR(G75="",G75=0),"",(H75-I75)/G75)</f>
        <v/>
      </c>
      <c r="L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11">
        <f>IF(H76="","",H76-I76)</f>
        <v/>
      </c>
      <c r="K76" s="11">
        <f>IF(OR(G76="",G76=0),"",(H76-I76)/G76)</f>
        <v/>
      </c>
      <c r="L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11">
        <f>IF(H77="","",H77-I77)</f>
        <v/>
      </c>
      <c r="K77" s="11">
        <f>IF(OR(G77="",G77=0),"",(H77-I77)/G77)</f>
        <v/>
      </c>
      <c r="L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11">
        <f>IF(H78="","",H78-I78)</f>
        <v/>
      </c>
      <c r="K78" s="11">
        <f>IF(OR(G78="",G78=0),"",(H78-I78)/G78)</f>
        <v/>
      </c>
      <c r="L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11">
        <f>IF(H79="","",H79-I79)</f>
        <v/>
      </c>
      <c r="K79" s="11">
        <f>IF(OR(G79="",G79=0),"",(H79-I79)/G79)</f>
        <v/>
      </c>
      <c r="L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11">
        <f>IF(H80="","",H80-I80)</f>
        <v/>
      </c>
      <c r="K80" s="11">
        <f>IF(OR(G80="",G80=0),"",(H80-I80)/G80)</f>
        <v/>
      </c>
      <c r="L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11">
        <f>IF(H81="","",H81-I81)</f>
        <v/>
      </c>
      <c r="K81" s="11">
        <f>IF(OR(G81="",G81=0),"",(H81-I81)/G81)</f>
        <v/>
      </c>
      <c r="L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11">
        <f>IF(H82="","",H82-I82)</f>
        <v/>
      </c>
      <c r="K82" s="11">
        <f>IF(OR(G82="",G82=0),"",(H82-I82)/G82)</f>
        <v/>
      </c>
      <c r="L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11">
        <f>IF(H83="","",H83-I83)</f>
        <v/>
      </c>
      <c r="K83" s="11">
        <f>IF(OR(G83="",G83=0),"",(H83-I83)/G83)</f>
        <v/>
      </c>
      <c r="L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11">
        <f>IF(H84="","",H84-I84)</f>
        <v/>
      </c>
      <c r="K84" s="11">
        <f>IF(OR(G84="",G84=0),"",(H84-I84)/G84)</f>
        <v/>
      </c>
      <c r="L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11">
        <f>IF(H85="","",H85-I85)</f>
        <v/>
      </c>
      <c r="K85" s="11">
        <f>IF(OR(G85="",G85=0),"",(H85-I85)/G85)</f>
        <v/>
      </c>
      <c r="L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11">
        <f>IF(H86="","",H86-I86)</f>
        <v/>
      </c>
      <c r="K86" s="11">
        <f>IF(OR(G86="",G86=0),"",(H86-I86)/G86)</f>
        <v/>
      </c>
      <c r="L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11">
        <f>IF(H87="","",H87-I87)</f>
        <v/>
      </c>
      <c r="K87" s="11">
        <f>IF(OR(G87="",G87=0),"",(H87-I87)/G87)</f>
        <v/>
      </c>
      <c r="L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11">
        <f>IF(H88="","",H88-I88)</f>
        <v/>
      </c>
      <c r="K88" s="11">
        <f>IF(OR(G88="",G88=0),"",(H88-I88)/G88)</f>
        <v/>
      </c>
      <c r="L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11">
        <f>IF(H89="","",H89-I89)</f>
        <v/>
      </c>
      <c r="K89" s="11">
        <f>IF(OR(G89="",G89=0),"",(H89-I89)/G89)</f>
        <v/>
      </c>
      <c r="L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11">
        <f>IF(H90="","",H90-I90)</f>
        <v/>
      </c>
      <c r="K90" s="11">
        <f>IF(OR(G90="",G90=0),"",(H90-I90)/G90)</f>
        <v/>
      </c>
      <c r="L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11">
        <f>IF(H91="","",H91-I91)</f>
        <v/>
      </c>
      <c r="K91" s="11">
        <f>IF(OR(G91="",G91=0),"",(H91-I91)/G91)</f>
        <v/>
      </c>
      <c r="L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11">
        <f>IF(H92="","",H92-I92)</f>
        <v/>
      </c>
      <c r="K92" s="11">
        <f>IF(OR(G92="",G92=0),"",(H92-I92)/G92)</f>
        <v/>
      </c>
      <c r="L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11">
        <f>IF(H93="","",H93-I93)</f>
        <v/>
      </c>
      <c r="K93" s="11">
        <f>IF(OR(G93="",G93=0),"",(H93-I93)/G93)</f>
        <v/>
      </c>
      <c r="L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11">
        <f>IF(H94="","",H94-I94)</f>
        <v/>
      </c>
      <c r="K94" s="11">
        <f>IF(OR(G94="",G94=0),"",(H94-I94)/G94)</f>
        <v/>
      </c>
      <c r="L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11">
        <f>IF(H95="","",H95-I95)</f>
        <v/>
      </c>
      <c r="K95" s="11">
        <f>IF(OR(G95="",G95=0),"",(H95-I95)/G95)</f>
        <v/>
      </c>
      <c r="L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11">
        <f>IF(H96="","",H96-I96)</f>
        <v/>
      </c>
      <c r="K96" s="11">
        <f>IF(OR(G96="",G96=0),"",(H96-I96)/G96)</f>
        <v/>
      </c>
      <c r="L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11">
        <f>IF(H97="","",H97-I97)</f>
        <v/>
      </c>
      <c r="K97" s="11">
        <f>IF(OR(G97="",G97=0),"",(H97-I97)/G97)</f>
        <v/>
      </c>
      <c r="L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11">
        <f>IF(H98="","",H98-I98)</f>
        <v/>
      </c>
      <c r="K98" s="11">
        <f>IF(OR(G98="",G98=0),"",(H98-I98)/G98)</f>
        <v/>
      </c>
      <c r="L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11">
        <f>IF(H99="","",H99-I99)</f>
        <v/>
      </c>
      <c r="K99" s="11">
        <f>IF(OR(G99="",G99=0),"",(H99-I99)/G99)</f>
        <v/>
      </c>
      <c r="L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11">
        <f>IF(H100="","",H100-I100)</f>
        <v/>
      </c>
      <c r="K100" s="11">
        <f>IF(OR(G100="",G100=0),"",(H100-I100)/G100)</f>
        <v/>
      </c>
      <c r="L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11">
        <f>IF(H101="","",H101-I101)</f>
        <v/>
      </c>
      <c r="K101" s="11">
        <f>IF(OR(G101="",G101=0),"",(H101-I101)/G101)</f>
        <v/>
      </c>
      <c r="L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11">
        <f>IF(H102="","",H102-I102)</f>
        <v/>
      </c>
      <c r="K102" s="11">
        <f>IF(OR(G102="",G102=0),"",(H102-I102)/G102)</f>
        <v/>
      </c>
      <c r="L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11">
        <f>IF(H103="","",H103-I103)</f>
        <v/>
      </c>
      <c r="K103" s="11">
        <f>IF(OR(G103="",G103=0),"",(H103-I103)/G103)</f>
        <v/>
      </c>
      <c r="L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11">
        <f>IF(H104="","",H104-I104)</f>
        <v/>
      </c>
      <c r="K104" s="11">
        <f>IF(OR(G104="",G104=0),"",(H104-I104)/G104)</f>
        <v/>
      </c>
      <c r="L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11">
        <f>IF(H105="","",H105-I105)</f>
        <v/>
      </c>
      <c r="K105" s="11">
        <f>IF(OR(G105="",G105=0),"",(H105-I105)/G105)</f>
        <v/>
      </c>
      <c r="L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11">
        <f>IF(H106="","",H106-I106)</f>
        <v/>
      </c>
      <c r="K106" s="11">
        <f>IF(OR(G106="",G106=0),"",(H106-I106)/G106)</f>
        <v/>
      </c>
      <c r="L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11">
        <f>IF(H107="","",H107-I107)</f>
        <v/>
      </c>
      <c r="K107" s="11">
        <f>IF(OR(G107="",G107=0),"",(H107-I107)/G107)</f>
        <v/>
      </c>
      <c r="L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11">
        <f>IF(H108="","",H108-I108)</f>
        <v/>
      </c>
      <c r="K108" s="11">
        <f>IF(OR(G108="",G108=0),"",(H108-I108)/G108)</f>
        <v/>
      </c>
      <c r="L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11">
        <f>IF(H109="","",H109-I109)</f>
        <v/>
      </c>
      <c r="K109" s="11">
        <f>IF(OR(G109="",G109=0),"",(H109-I109)/G109)</f>
        <v/>
      </c>
      <c r="L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11">
        <f>IF(H110="","",H110-I110)</f>
        <v/>
      </c>
      <c r="K110" s="11">
        <f>IF(OR(G110="",G110=0),"",(H110-I110)/G110)</f>
        <v/>
      </c>
      <c r="L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11">
        <f>IF(H111="","",H111-I111)</f>
        <v/>
      </c>
      <c r="K111" s="11">
        <f>IF(OR(G111="",G111=0),"",(H111-I111)/G111)</f>
        <v/>
      </c>
      <c r="L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11">
        <f>IF(H112="","",H112-I112)</f>
        <v/>
      </c>
      <c r="K112" s="11">
        <f>IF(OR(G112="",G112=0),"",(H112-I112)/G112)</f>
        <v/>
      </c>
      <c r="L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11">
        <f>IF(H113="","",H113-I113)</f>
        <v/>
      </c>
      <c r="K113" s="11">
        <f>IF(OR(G113="",G113=0),"",(H113-I113)/G113)</f>
        <v/>
      </c>
      <c r="L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11">
        <f>IF(H114="","",H114-I114)</f>
        <v/>
      </c>
      <c r="K114" s="11">
        <f>IF(OR(G114="",G114=0),"",(H114-I114)/G114)</f>
        <v/>
      </c>
      <c r="L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11">
        <f>IF(H115="","",H115-I115)</f>
        <v/>
      </c>
      <c r="K115" s="11">
        <f>IF(OR(G115="",G115=0),"",(H115-I115)/G115)</f>
        <v/>
      </c>
      <c r="L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11">
        <f>IF(H116="","",H116-I116)</f>
        <v/>
      </c>
      <c r="K116" s="11">
        <f>IF(OR(G116="",G116=0),"",(H116-I116)/G116)</f>
        <v/>
      </c>
      <c r="L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11">
        <f>IF(H117="","",H117-I117)</f>
        <v/>
      </c>
      <c r="K117" s="11">
        <f>IF(OR(G117="",G117=0),"",(H117-I117)/G117)</f>
        <v/>
      </c>
      <c r="L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11">
        <f>IF(H118="","",H118-I118)</f>
        <v/>
      </c>
      <c r="K118" s="11">
        <f>IF(OR(G118="",G118=0),"",(H118-I118)/G118)</f>
        <v/>
      </c>
      <c r="L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11">
        <f>IF(H119="","",H119-I119)</f>
        <v/>
      </c>
      <c r="K119" s="11">
        <f>IF(OR(G119="",G119=0),"",(H119-I119)/G119)</f>
        <v/>
      </c>
      <c r="L11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" customWidth="1" min="3" max="3"/>
    <col width="10" customWidth="1" min="4" max="4"/>
    <col width="12" customWidth="1" min="5" max="5"/>
    <col width="11" customWidth="1" min="6" max="6"/>
    <col width="11" customWidth="1" min="7" max="7"/>
    <col width="10" customWidth="1" min="8" max="8"/>
    <col width="15" customWidth="1" min="9" max="9"/>
    <col width="20" customWidth="1" min="10" max="10"/>
  </cols>
  <sheetData>
    <row r="1" ht="28" customHeight="1">
      <c r="A1" s="1" t="inlineStr">
        <is>
          <t>ТЕСТ АССОРТИМЕНТА — веди еженедельно</t>
        </is>
      </c>
    </row>
    <row r="2" ht="30" customHeight="1">
      <c r="A2" s="33" t="inlineStr">
        <is>
          <t>Позиция</t>
        </is>
      </c>
      <c r="B2" s="33" t="inlineStr">
        <is>
          <t>Категория</t>
        </is>
      </c>
      <c r="C2" s="33" t="inlineStr">
        <is>
          <t>Вес, г</t>
        </is>
      </c>
      <c r="D2" s="33" t="inlineStr">
        <is>
          <t>Время, ч</t>
        </is>
      </c>
      <c r="E2" s="33" t="inlineStr">
        <is>
          <t>Себест., ₽</t>
        </is>
      </c>
      <c r="F2" s="33" t="inlineStr">
        <is>
          <t>Цена, ₽</t>
        </is>
      </c>
      <c r="G2" s="33" t="inlineStr">
        <is>
          <t>Маржа, ₽</t>
        </is>
      </c>
      <c r="H2" s="33" t="inlineStr">
        <is>
          <t>₽/час</t>
        </is>
      </c>
      <c r="I2" s="33" t="inlineStr">
        <is>
          <t>Продано за нед.</t>
        </is>
      </c>
      <c r="J2" s="33" t="inlineStr">
        <is>
          <t>Вердикт</t>
        </is>
      </c>
    </row>
    <row r="3">
      <c r="A3" s="9" t="inlineStr">
        <is>
          <t>Дракон подвижный 18 см, 2 цвета</t>
        </is>
      </c>
      <c r="B3" s="9" t="inlineStr">
        <is>
          <t>Игрушки</t>
        </is>
      </c>
      <c r="C3" s="9" t="n">
        <v>45</v>
      </c>
      <c r="D3" s="9" t="n">
        <v>3</v>
      </c>
      <c r="E3" s="11">
        <f>C3*1.5+D3*16</f>
        <v/>
      </c>
      <c r="F3" s="10" t="n">
        <v>550</v>
      </c>
      <c r="G3" s="11">
        <f>F3-E3</f>
        <v/>
      </c>
      <c r="H3" s="11">
        <f>IF(D3=0,0,(F3-E3)/D3)</f>
        <v/>
      </c>
      <c r="I3" s="35" t="n"/>
      <c r="J3" s="9">
        <f>IF(I3="","—",IF(I3&gt;=3,"МАСШТАБИРОВАТЬ",IF(I3&gt;=1,"оставить","убрать с полки")))</f>
        <v/>
      </c>
    </row>
    <row r="4">
      <c r="A4" s="9" t="inlineStr">
        <is>
          <t>Артикулированная змея</t>
        </is>
      </c>
      <c r="B4" s="9" t="inlineStr">
        <is>
          <t>Игрушки</t>
        </is>
      </c>
      <c r="C4" s="9" t="n">
        <v>25</v>
      </c>
      <c r="D4" s="9" t="n">
        <v>1.5</v>
      </c>
      <c r="E4" s="11">
        <f>C4*1.5+D4*16</f>
        <v/>
      </c>
      <c r="F4" s="10" t="n">
        <v>250</v>
      </c>
      <c r="G4" s="11">
        <f>F4-E4</f>
        <v/>
      </c>
      <c r="H4" s="11">
        <f>IF(D4=0,0,(F4-E4)/D4)</f>
        <v/>
      </c>
      <c r="I4" s="35" t="n"/>
      <c r="J4" s="9">
        <f>IF(I4="","—",IF(I4&gt;=3,"МАСШТАБИРОВАТЬ",IF(I4&gt;=1,"оставить","убрать с полки")))</f>
        <v/>
      </c>
    </row>
    <row r="5">
      <c r="A5" s="9" t="inlineStr">
        <is>
          <t>Фиджет-крутилка</t>
        </is>
      </c>
      <c r="B5" s="9" t="inlineStr">
        <is>
          <t>Игрушки</t>
        </is>
      </c>
      <c r="C5" s="9" t="n">
        <v>18</v>
      </c>
      <c r="D5" s="9" t="n">
        <v>1</v>
      </c>
      <c r="E5" s="11">
        <f>C5*1.5+D5*16</f>
        <v/>
      </c>
      <c r="F5" s="10" t="n">
        <v>250</v>
      </c>
      <c r="G5" s="11">
        <f>F5-E5</f>
        <v/>
      </c>
      <c r="H5" s="11">
        <f>IF(D5=0,0,(F5-E5)/D5)</f>
        <v/>
      </c>
      <c r="I5" s="35" t="n"/>
      <c r="J5" s="9">
        <f>IF(I5="","—",IF(I5&gt;=3,"МАСШТАБИРОВАТЬ",IF(I5&gt;=1,"оставить","убрать с полки")))</f>
        <v/>
      </c>
    </row>
    <row r="6">
      <c r="A6" s="9" t="inlineStr">
        <is>
          <t>Дракон большой 28 см, 2 цвета</t>
        </is>
      </c>
      <c r="B6" s="9" t="inlineStr">
        <is>
          <t>Фигурки</t>
        </is>
      </c>
      <c r="C6" s="9" t="n">
        <v>110</v>
      </c>
      <c r="D6" s="9" t="n">
        <v>5.5</v>
      </c>
      <c r="E6" s="11">
        <f>C6*1.5+D6*16</f>
        <v/>
      </c>
      <c r="F6" s="10" t="n">
        <v>890</v>
      </c>
      <c r="G6" s="11">
        <f>F6-E6</f>
        <v/>
      </c>
      <c r="H6" s="11">
        <f>IF(D6=0,0,(F6-E6)/D6)</f>
        <v/>
      </c>
      <c r="I6" s="35" t="n"/>
      <c r="J6" s="9">
        <f>IF(I6="","—",IF(I6&gt;=3,"МАСШТАБИРОВАТЬ",IF(I6&gt;=1,"оставить","убрать с полки")))</f>
        <v/>
      </c>
    </row>
    <row r="7">
      <c r="A7" s="9" t="inlineStr">
        <is>
          <t>Мини-фигурка животного</t>
        </is>
      </c>
      <c r="B7" s="9" t="inlineStr">
        <is>
          <t>Игрушки</t>
        </is>
      </c>
      <c r="C7" s="9" t="n">
        <v>8</v>
      </c>
      <c r="D7" s="9" t="n">
        <v>0.5</v>
      </c>
      <c r="E7" s="11">
        <f>C7*1.5+D7*16</f>
        <v/>
      </c>
      <c r="F7" s="10" t="n">
        <v>150</v>
      </c>
      <c r="G7" s="11">
        <f>F7-E7</f>
        <v/>
      </c>
      <c r="H7" s="11">
        <f>IF(D7=0,0,(F7-E7)/D7)</f>
        <v/>
      </c>
      <c r="I7" s="35" t="n"/>
      <c r="J7" s="9">
        <f>IF(I7="","—",IF(I7&gt;=3,"МАСШТАБИРОВАТЬ",IF(I7&gt;=1,"оставить","убрать с полки")))</f>
        <v/>
      </c>
    </row>
    <row r="8">
      <c r="A8" s="9" t="inlineStr">
        <is>
          <t>Именной брелок</t>
        </is>
      </c>
      <c r="B8" s="9" t="inlineStr">
        <is>
          <t>Подарки</t>
        </is>
      </c>
      <c r="C8" s="9" t="n">
        <v>8</v>
      </c>
      <c r="D8" s="9" t="n">
        <v>0.5</v>
      </c>
      <c r="E8" s="11">
        <f>C8*1.5+D8*16</f>
        <v/>
      </c>
      <c r="F8" s="10" t="n">
        <v>350</v>
      </c>
      <c r="G8" s="11">
        <f>F8-E8</f>
        <v/>
      </c>
      <c r="H8" s="11">
        <f>IF(D8=0,0,(F8-E8)/D8)</f>
        <v/>
      </c>
      <c r="I8" s="35" t="n"/>
      <c r="J8" s="9">
        <f>IF(I8="","—",IF(I8&gt;=3,"МАСШТАБИРОВАТЬ",IF(I8&gt;=1,"оставить","убрать с полки")))</f>
        <v/>
      </c>
    </row>
    <row r="9">
      <c r="A9" s="9" t="inlineStr">
        <is>
          <t>Крючок на дверь</t>
        </is>
      </c>
      <c r="B9" s="9" t="inlineStr">
        <is>
          <t>Быт</t>
        </is>
      </c>
      <c r="C9" s="9" t="n">
        <v>12</v>
      </c>
      <c r="D9" s="9" t="n">
        <v>0.7</v>
      </c>
      <c r="E9" s="11">
        <f>C9*1.5+D9*16</f>
        <v/>
      </c>
      <c r="F9" s="10" t="n">
        <v>150</v>
      </c>
      <c r="G9" s="11">
        <f>F9-E9</f>
        <v/>
      </c>
      <c r="H9" s="11">
        <f>IF(D9=0,0,(F9-E9)/D9)</f>
        <v/>
      </c>
      <c r="I9" s="35" t="n"/>
      <c r="J9" s="9">
        <f>IF(I9="","—",IF(I9&gt;=3,"МАСШТАБИРОВАТЬ",IF(I9&gt;=1,"оставить","убрать с полки")))</f>
        <v/>
      </c>
    </row>
    <row r="10">
      <c r="A10" s="9" t="inlineStr">
        <is>
          <t>Клипсы для пакетов, 5 шт</t>
        </is>
      </c>
      <c r="B10" s="9" t="inlineStr">
        <is>
          <t>Быт</t>
        </is>
      </c>
      <c r="C10" s="9" t="n">
        <v>15</v>
      </c>
      <c r="D10" s="9" t="n">
        <v>0.8</v>
      </c>
      <c r="E10" s="11">
        <f>C10*1.5+D10*16</f>
        <v/>
      </c>
      <c r="F10" s="10" t="n">
        <v>200</v>
      </c>
      <c r="G10" s="11">
        <f>F10-E10</f>
        <v/>
      </c>
      <c r="H10" s="11">
        <f>IF(D10=0,0,(F10-E10)/D10)</f>
        <v/>
      </c>
      <c r="I10" s="35" t="n"/>
      <c r="J10" s="9">
        <f>IF(I10="","—",IF(I10&gt;=3,"МАСШТАБИРОВАТЬ",IF(I10&gt;=1,"оставить","убрать с полки")))</f>
        <v/>
      </c>
    </row>
    <row r="11">
      <c r="A11" s="9" t="inlineStr">
        <is>
          <t>Подставка под телефон</t>
        </is>
      </c>
      <c r="B11" s="9" t="inlineStr">
        <is>
          <t>Быт</t>
        </is>
      </c>
      <c r="C11" s="9" t="n">
        <v>25</v>
      </c>
      <c r="D11" s="9" t="n">
        <v>1.3</v>
      </c>
      <c r="E11" s="11">
        <f>C11*1.5+D11*16</f>
        <v/>
      </c>
      <c r="F11" s="10" t="n">
        <v>350</v>
      </c>
      <c r="G11" s="11">
        <f>F11-E11</f>
        <v/>
      </c>
      <c r="H11" s="11">
        <f>IF(D11=0,0,(F11-E11)/D11)</f>
        <v/>
      </c>
      <c r="I11" s="35" t="n"/>
      <c r="J11" s="9">
        <f>IF(I11="","—",IF(I11&gt;=3,"МАСШТАБИРОВАТЬ",IF(I11&gt;=1,"оставить","убрать с полки")))</f>
        <v/>
      </c>
    </row>
    <row r="12">
      <c r="A12" s="9" t="inlineStr">
        <is>
          <t>Органайзер для мелочи</t>
        </is>
      </c>
      <c r="B12" s="9" t="inlineStr">
        <is>
          <t>Быт</t>
        </is>
      </c>
      <c r="C12" s="9" t="n">
        <v>70</v>
      </c>
      <c r="D12" s="9" t="n">
        <v>3.5</v>
      </c>
      <c r="E12" s="11">
        <f>C12*1.5+D12*16</f>
        <v/>
      </c>
      <c r="F12" s="10" t="n">
        <v>500</v>
      </c>
      <c r="G12" s="11">
        <f>F12-E12</f>
        <v/>
      </c>
      <c r="H12" s="11">
        <f>IF(D12=0,0,(F12-E12)/D12)</f>
        <v/>
      </c>
      <c r="I12" s="35" t="n"/>
      <c r="J12" s="9">
        <f>IF(I12="","—",IF(I12&gt;=3,"МАСШТАБИРОВАТЬ",IF(I12&gt;=1,"оставить","убрать с полки")))</f>
        <v/>
      </c>
    </row>
    <row r="13">
      <c r="A13" s="9" t="inlineStr">
        <is>
          <t>Держатель зубных щёток</t>
        </is>
      </c>
      <c r="B13" s="9" t="inlineStr">
        <is>
          <t>Быт</t>
        </is>
      </c>
      <c r="C13" s="9" t="n">
        <v>40</v>
      </c>
      <c r="D13" s="9" t="n">
        <v>2</v>
      </c>
      <c r="E13" s="11">
        <f>C13*1.5+D13*16</f>
        <v/>
      </c>
      <c r="F13" s="10" t="n">
        <v>300</v>
      </c>
      <c r="G13" s="11">
        <f>F13-E13</f>
        <v/>
      </c>
      <c r="H13" s="11">
        <f>IF(D13=0,0,(F13-E13)/D13)</f>
        <v/>
      </c>
      <c r="I13" s="35" t="n"/>
      <c r="J13" s="9">
        <f>IF(I13="","—",IF(I13&gt;=3,"МАСШТАБИРОВАТЬ",IF(I13&gt;=1,"оставить","убрать с полки")))</f>
        <v/>
      </c>
    </row>
    <row r="14">
      <c r="A14" s="9" t="inlineStr">
        <is>
          <t>Ваза-спираль</t>
        </is>
      </c>
      <c r="B14" s="9" t="inlineStr">
        <is>
          <t>Декор</t>
        </is>
      </c>
      <c r="C14" s="9" t="n">
        <v>55</v>
      </c>
      <c r="D14" s="9" t="n">
        <v>2</v>
      </c>
      <c r="E14" s="11">
        <f>C14*1.5+D14*16</f>
        <v/>
      </c>
      <c r="F14" s="10" t="n">
        <v>600</v>
      </c>
      <c r="G14" s="11">
        <f>F14-E14</f>
        <v/>
      </c>
      <c r="H14" s="11">
        <f>IF(D14=0,0,(F14-E14)/D14)</f>
        <v/>
      </c>
      <c r="I14" s="35" t="n"/>
      <c r="J14" s="9">
        <f>IF(I14="","—",IF(I14&gt;=3,"МАСШТАБИРОВАТЬ",IF(I14&gt;=1,"оставить","убрать с полки")))</f>
        <v/>
      </c>
    </row>
    <row r="15">
      <c r="A15" s="9" t="inlineStr">
        <is>
          <t>Ночник</t>
        </is>
      </c>
      <c r="B15" s="9" t="inlineStr">
        <is>
          <t>Декор</t>
        </is>
      </c>
      <c r="C15" s="9" t="n">
        <v>90</v>
      </c>
      <c r="D15" s="9" t="n">
        <v>4.5</v>
      </c>
      <c r="E15" s="11">
        <f>C15*1.5+D15*16</f>
        <v/>
      </c>
      <c r="F15" s="10" t="n">
        <v>900</v>
      </c>
      <c r="G15" s="11">
        <f>F15-E15</f>
        <v/>
      </c>
      <c r="H15" s="11">
        <f>IF(D15=0,0,(F15-E15)/D15)</f>
        <v/>
      </c>
      <c r="I15" s="35" t="n"/>
      <c r="J15" s="9">
        <f>IF(I15="","—",IF(I15&gt;=3,"МАСШТАБИРОВАТЬ",IF(I15&gt;=1,"оставить","убрать с полки")))</f>
        <v/>
      </c>
    </row>
    <row r="16">
      <c r="A16" s="9" t="inlineStr">
        <is>
          <t>Топпер на торт</t>
        </is>
      </c>
      <c r="B16" s="9" t="inlineStr">
        <is>
          <t>B2B</t>
        </is>
      </c>
      <c r="C16" s="9" t="n">
        <v>7</v>
      </c>
      <c r="D16" s="9" t="n">
        <v>0.4</v>
      </c>
      <c r="E16" s="11">
        <f>C16*1.5+D16*16</f>
        <v/>
      </c>
      <c r="F16" s="10" t="n">
        <v>500</v>
      </c>
      <c r="G16" s="11">
        <f>F16-E16</f>
        <v/>
      </c>
      <c r="H16" s="11">
        <f>IF(D16=0,0,(F16-E16)/D16)</f>
        <v/>
      </c>
      <c r="I16" s="35" t="n"/>
      <c r="J16" s="9">
        <f>IF(I16="","—",IF(I16&gt;=3,"МАСШТАБИРОВАТЬ",IF(I16&gt;=1,"оставить","убрать с полки")))</f>
        <v/>
      </c>
    </row>
    <row r="17">
      <c r="A17" s="9" t="inlineStr">
        <is>
          <t>Вырубка для печенья</t>
        </is>
      </c>
      <c r="B17" s="9" t="inlineStr">
        <is>
          <t>B2B/Пекарня</t>
        </is>
      </c>
      <c r="C17" s="9" t="n">
        <v>12</v>
      </c>
      <c r="D17" s="9" t="n">
        <v>0.6</v>
      </c>
      <c r="E17" s="11">
        <f>C17*1.5+D17*16</f>
        <v/>
      </c>
      <c r="F17" s="10" t="n">
        <v>250</v>
      </c>
      <c r="G17" s="11">
        <f>F17-E17</f>
        <v/>
      </c>
      <c r="H17" s="11">
        <f>IF(D17=0,0,(F17-E17)/D17)</f>
        <v/>
      </c>
      <c r="I17" s="35" t="n"/>
      <c r="J17" s="9">
        <f>IF(I17="","—",IF(I17&gt;=3,"МАСШТАБИРОВАТЬ",IF(I17&gt;=1,"оставить","убрать с полки")))</f>
        <v/>
      </c>
    </row>
    <row r="18">
      <c r="A18" s="9" t="inlineStr">
        <is>
          <t>Держатель ценника</t>
        </is>
      </c>
      <c r="B18" s="9" t="inlineStr">
        <is>
          <t>B2B</t>
        </is>
      </c>
      <c r="C18" s="9" t="n">
        <v>10</v>
      </c>
      <c r="D18" s="9" t="n">
        <v>0.5</v>
      </c>
      <c r="E18" s="11">
        <f>C18*1.5+D18*16</f>
        <v/>
      </c>
      <c r="F18" s="10" t="n">
        <v>250</v>
      </c>
      <c r="G18" s="11">
        <f>F18-E18</f>
        <v/>
      </c>
      <c r="H18" s="11">
        <f>IF(D18=0,0,(F18-E18)/D18)</f>
        <v/>
      </c>
      <c r="I18" s="35" t="n"/>
      <c r="J18" s="9">
        <f>IF(I18="","—",IF(I18&gt;=3,"МАСШТАБИРОВАТЬ",IF(I18&gt;=1,"оставить","убрать с полки")))</f>
        <v/>
      </c>
    </row>
    <row r="19">
      <c r="A19" s="9" t="inlineStr">
        <is>
          <t>Насадка-лейка на бутылку</t>
        </is>
      </c>
      <c r="B19" s="9" t="inlineStr">
        <is>
          <t>Сезон</t>
        </is>
      </c>
      <c r="C19" s="9" t="n">
        <v>14</v>
      </c>
      <c r="D19" s="9" t="n">
        <v>0.8</v>
      </c>
      <c r="E19" s="11">
        <f>C19*1.5+D19*16</f>
        <v/>
      </c>
      <c r="F19" s="10" t="n">
        <v>250</v>
      </c>
      <c r="G19" s="11">
        <f>F19-E19</f>
        <v/>
      </c>
      <c r="H19" s="11">
        <f>IF(D19=0,0,(F19-E19)/D19)</f>
        <v/>
      </c>
      <c r="I19" s="35" t="n"/>
      <c r="J19" s="9">
        <f>IF(I19="","—",IF(I19&gt;=3,"МАСШТАБИРОВАТЬ",IF(I19&gt;=1,"оставить","убрать с полки")))</f>
        <v/>
      </c>
    </row>
    <row r="20">
      <c r="A20" s="9" t="inlineStr">
        <is>
          <t>Маркеры для грядок, 10 шт</t>
        </is>
      </c>
      <c r="B20" s="9" t="inlineStr">
        <is>
          <t>Сезон</t>
        </is>
      </c>
      <c r="C20" s="9" t="n">
        <v>30</v>
      </c>
      <c r="D20" s="9" t="n">
        <v>1.5</v>
      </c>
      <c r="E20" s="11">
        <f>C20*1.5+D20*16</f>
        <v/>
      </c>
      <c r="F20" s="10" t="n">
        <v>300</v>
      </c>
      <c r="G20" s="11">
        <f>F20-E20</f>
        <v/>
      </c>
      <c r="H20" s="11">
        <f>IF(D20=0,0,(F20-E20)/D20)</f>
        <v/>
      </c>
      <c r="I20" s="35" t="n"/>
      <c r="J20" s="9">
        <f>IF(I20="","—",IF(I20&gt;=3,"МАСШТАБИРОВАТЬ",IF(I20&gt;=1,"оставить","убрать с полки")))</f>
        <v/>
      </c>
    </row>
    <row r="21"/>
    <row r="22">
      <c r="A22" s="4" t="inlineStr">
        <is>
          <t>Себестоимость считается как: вес × 1,5 ₽/г (пластик+брак) + часы × 16 ₽ (аморт.+электро). Твоё время в розничной полке не считаем — печатает принтер сам.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mergeCells count="2">
    <mergeCell ref="A22:J22"/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3" customWidth="1" min="4" max="4"/>
    <col width="26" customWidth="1" min="5" max="5"/>
    <col width="26" customWidth="1" min="6" max="6"/>
    <col width="15" customWidth="1" min="7" max="7"/>
    <col width="14" customWidth="1" min="8" max="8"/>
  </cols>
  <sheetData>
    <row r="1" ht="26" customHeight="1">
      <c r="A1" s="36" t="inlineStr">
        <is>
          <t>ОБХОД СОСЕДНИХ БИЗНЕСОВ — цель 20 точек</t>
        </is>
      </c>
    </row>
    <row r="2" ht="30" customHeight="1">
      <c r="A2" s="33" t="inlineStr">
        <is>
          <t>№</t>
        </is>
      </c>
      <c r="B2" s="33" t="inlineStr">
        <is>
          <t>Название точки</t>
        </is>
      </c>
      <c r="C2" s="33" t="inlineStr">
        <is>
          <t>Тип бизнеса</t>
        </is>
      </c>
      <c r="D2" s="33" t="inlineStr">
        <is>
          <t>Дата захода</t>
        </is>
      </c>
      <c r="E2" s="33" t="inlineStr">
        <is>
          <t>Что оставил</t>
        </is>
      </c>
      <c r="F2" s="33" t="inlineStr">
        <is>
          <t>Реакция</t>
        </is>
      </c>
      <c r="G2" s="33" t="inlineStr">
        <is>
          <t>Повторный заход</t>
        </is>
      </c>
      <c r="H2" s="33" t="inlineStr">
        <is>
          <t>Стал клиентом</t>
        </is>
      </c>
    </row>
    <row r="3">
      <c r="A3" s="37" t="n">
        <v>1</v>
      </c>
      <c r="B3" s="9" t="n"/>
      <c r="C3" s="22" t="inlineStr">
        <is>
          <t>магазин</t>
        </is>
      </c>
      <c r="D3" s="9" t="n"/>
      <c r="E3" s="9" t="n"/>
      <c r="F3" s="9" t="n"/>
      <c r="G3" s="9" t="n"/>
      <c r="H3" s="35" t="n"/>
    </row>
    <row r="4">
      <c r="A4" s="37" t="n">
        <v>2</v>
      </c>
      <c r="B4" s="9" t="n"/>
      <c r="C4" s="22" t="inlineStr">
        <is>
          <t>аптека</t>
        </is>
      </c>
      <c r="D4" s="9" t="n"/>
      <c r="E4" s="9" t="n"/>
      <c r="F4" s="9" t="n"/>
      <c r="G4" s="9" t="n"/>
      <c r="H4" s="35" t="n"/>
    </row>
    <row r="5">
      <c r="A5" s="37" t="n">
        <v>3</v>
      </c>
      <c r="B5" s="9" t="n"/>
      <c r="C5" s="22" t="inlineStr">
        <is>
          <t>кофейня</t>
        </is>
      </c>
      <c r="D5" s="9" t="n"/>
      <c r="E5" s="9" t="n"/>
      <c r="F5" s="9" t="n"/>
      <c r="G5" s="9" t="n"/>
      <c r="H5" s="35" t="n"/>
    </row>
    <row r="6">
      <c r="A6" s="37" t="n">
        <v>4</v>
      </c>
      <c r="B6" s="9" t="n"/>
      <c r="C6" s="22" t="inlineStr">
        <is>
          <t>салон красоты</t>
        </is>
      </c>
      <c r="D6" s="9" t="n"/>
      <c r="E6" s="9" t="n"/>
      <c r="F6" s="9" t="n"/>
      <c r="G6" s="9" t="n"/>
      <c r="H6" s="35" t="n"/>
    </row>
    <row r="7">
      <c r="A7" s="37" t="n">
        <v>5</v>
      </c>
      <c r="B7" s="9" t="n"/>
      <c r="C7" s="22" t="inlineStr">
        <is>
          <t>барбершоп</t>
        </is>
      </c>
      <c r="D7" s="9" t="n"/>
      <c r="E7" s="9" t="n"/>
      <c r="F7" s="9" t="n"/>
      <c r="G7" s="9" t="n"/>
      <c r="H7" s="35" t="n"/>
    </row>
    <row r="8">
      <c r="A8" s="37" t="n">
        <v>6</v>
      </c>
      <c r="B8" s="9" t="n"/>
      <c r="C8" s="22" t="inlineStr">
        <is>
          <t>автосервис</t>
        </is>
      </c>
      <c r="D8" s="9" t="n"/>
      <c r="E8" s="9" t="n"/>
      <c r="F8" s="9" t="n"/>
      <c r="G8" s="9" t="n"/>
      <c r="H8" s="35" t="n"/>
    </row>
    <row r="9">
      <c r="A9" s="37" t="n">
        <v>7</v>
      </c>
      <c r="B9" s="9" t="n"/>
      <c r="C9" s="22" t="inlineStr">
        <is>
          <t>цветочный</t>
        </is>
      </c>
      <c r="D9" s="9" t="n"/>
      <c r="E9" s="9" t="n"/>
      <c r="F9" s="9" t="n"/>
      <c r="G9" s="9" t="n"/>
      <c r="H9" s="35" t="n"/>
    </row>
    <row r="10">
      <c r="A10" s="37" t="n">
        <v>8</v>
      </c>
      <c r="B10" s="9" t="n"/>
      <c r="C10" s="22" t="inlineStr">
        <is>
          <t>ремонт техники</t>
        </is>
      </c>
      <c r="D10" s="9" t="n"/>
      <c r="E10" s="9" t="n"/>
      <c r="F10" s="9" t="n"/>
      <c r="G10" s="9" t="n"/>
      <c r="H10" s="35" t="n"/>
    </row>
    <row r="11">
      <c r="A11" s="37" t="n">
        <v>9</v>
      </c>
      <c r="B11" s="9" t="n"/>
      <c r="C11" s="22" t="inlineStr">
        <is>
          <t>кондитер</t>
        </is>
      </c>
      <c r="D11" s="9" t="n"/>
      <c r="E11" s="9" t="n"/>
      <c r="F11" s="9" t="n"/>
      <c r="G11" s="9" t="n"/>
      <c r="H11" s="35" t="n"/>
    </row>
    <row r="12">
      <c r="A12" s="37" t="n">
        <v>10</v>
      </c>
      <c r="B12" s="9" t="n"/>
      <c r="C12" s="22" t="inlineStr">
        <is>
          <t>пекарня</t>
        </is>
      </c>
      <c r="D12" s="9" t="n"/>
      <c r="E12" s="9" t="n"/>
      <c r="F12" s="9" t="n"/>
      <c r="G12" s="9" t="n"/>
      <c r="H12" s="35" t="n"/>
    </row>
    <row r="13">
      <c r="A13" s="37" t="n">
        <v>11</v>
      </c>
      <c r="B13" s="9" t="n"/>
      <c r="C13" s="22" t="inlineStr">
        <is>
          <t>детский центр</t>
        </is>
      </c>
      <c r="D13" s="9" t="n"/>
      <c r="E13" s="9" t="n"/>
      <c r="F13" s="9" t="n"/>
      <c r="G13" s="9" t="n"/>
      <c r="H13" s="35" t="n"/>
    </row>
    <row r="14">
      <c r="A14" s="37" t="n">
        <v>12</v>
      </c>
      <c r="B14" s="9" t="n"/>
      <c r="C14" s="22" t="inlineStr">
        <is>
          <t>зоомагазин</t>
        </is>
      </c>
      <c r="D14" s="9" t="n"/>
      <c r="E14" s="9" t="n"/>
      <c r="F14" s="9" t="n"/>
      <c r="G14" s="9" t="n"/>
      <c r="H14" s="35" t="n"/>
    </row>
    <row r="15">
      <c r="A15" s="37" t="n">
        <v>13</v>
      </c>
      <c r="B15" s="9" t="n"/>
      <c r="C15" s="22" t="inlineStr">
        <is>
          <t>шиномонтаж</t>
        </is>
      </c>
      <c r="D15" s="9" t="n"/>
      <c r="E15" s="9" t="n"/>
      <c r="F15" s="9" t="n"/>
      <c r="G15" s="9" t="n"/>
      <c r="H15" s="35" t="n"/>
    </row>
    <row r="16">
      <c r="A16" s="37" t="n">
        <v>14</v>
      </c>
      <c r="B16" s="9" t="n"/>
      <c r="C16" s="22" t="inlineStr">
        <is>
          <t>ателье</t>
        </is>
      </c>
      <c r="D16" s="9" t="n"/>
      <c r="E16" s="9" t="n"/>
      <c r="F16" s="9" t="n"/>
      <c r="G16" s="9" t="n"/>
      <c r="H16" s="35" t="n"/>
    </row>
    <row r="17">
      <c r="A17" s="37" t="n">
        <v>15</v>
      </c>
      <c r="B17" s="9" t="n"/>
      <c r="C17" s="22" t="inlineStr">
        <is>
          <t>канцтовары</t>
        </is>
      </c>
      <c r="D17" s="9" t="n"/>
      <c r="E17" s="9" t="n"/>
      <c r="F17" s="9" t="n"/>
      <c r="G17" s="9" t="n"/>
      <c r="H17" s="35" t="n"/>
    </row>
    <row r="18">
      <c r="A18" s="37" t="n">
        <v>16</v>
      </c>
      <c r="B18" s="9" t="n"/>
      <c r="C18" s="22" t="inlineStr">
        <is>
          <t>кальянная</t>
        </is>
      </c>
      <c r="D18" s="9" t="n"/>
      <c r="E18" s="9" t="n"/>
      <c r="F18" s="9" t="n"/>
      <c r="G18" s="9" t="n"/>
      <c r="H18" s="35" t="n"/>
    </row>
    <row r="19">
      <c r="A19" s="37" t="n">
        <v>17</v>
      </c>
      <c r="B19" s="9" t="n"/>
      <c r="C19" s="22" t="inlineStr">
        <is>
          <t>бар</t>
        </is>
      </c>
      <c r="D19" s="9" t="n"/>
      <c r="E19" s="9" t="n"/>
      <c r="F19" s="9" t="n"/>
      <c r="G19" s="9" t="n"/>
      <c r="H19" s="35" t="n"/>
    </row>
    <row r="20">
      <c r="A20" s="37" t="n">
        <v>18</v>
      </c>
      <c r="B20" s="9" t="n"/>
      <c r="C20" s="22" t="inlineStr">
        <is>
          <t>стоматология</t>
        </is>
      </c>
      <c r="D20" s="9" t="n"/>
      <c r="E20" s="9" t="n"/>
      <c r="F20" s="9" t="n"/>
      <c r="G20" s="9" t="n"/>
      <c r="H20" s="35" t="n"/>
    </row>
    <row r="21">
      <c r="A21" s="37" t="n">
        <v>19</v>
      </c>
      <c r="B21" s="9" t="n"/>
      <c r="C21" s="22" t="inlineStr">
        <is>
          <t>ветклиника</t>
        </is>
      </c>
      <c r="D21" s="9" t="n"/>
      <c r="E21" s="9" t="n"/>
      <c r="F21" s="9" t="n"/>
      <c r="G21" s="9" t="n"/>
      <c r="H21" s="35" t="n"/>
    </row>
    <row r="22">
      <c r="A22" s="37" t="n">
        <v>20</v>
      </c>
      <c r="B22" s="9" t="n"/>
      <c r="C22" s="22" t="inlineStr">
        <is>
          <t>мастерская</t>
        </is>
      </c>
      <c r="D22" s="9" t="n"/>
      <c r="E22" s="9" t="n"/>
      <c r="F22" s="9" t="n"/>
      <c r="G22" s="9" t="n"/>
      <c r="H22" s="35" t="n"/>
    </row>
    <row r="24">
      <c r="B24" s="2" t="inlineStr">
        <is>
          <t>Обойдено точек</t>
        </is>
      </c>
      <c r="D24">
        <f>COUNTA(D3:D22)</f>
        <v/>
      </c>
    </row>
    <row r="25">
      <c r="B25" s="2" t="inlineStr">
        <is>
          <t>Стали клиентами</t>
        </is>
      </c>
      <c r="D25">
        <f>COUNTIF(H3:H22,"да")</f>
        <v/>
      </c>
    </row>
    <row r="26">
      <c r="B26" s="2" t="inlineStr">
        <is>
          <t>Конверсия</t>
        </is>
      </c>
      <c r="D26" s="38">
        <f>IFERROR(D25/D24,0)</f>
        <v/>
      </c>
    </row>
    <row r="28">
      <c r="B28" s="4" t="inlineStr">
        <is>
          <t>Норма конверсии 15-25% (3-5 клиентов из 20). Образец оставляй ВСЕГДА. Повторный заход через 2 недели — именно там происходят продажи.</t>
        </is>
      </c>
    </row>
  </sheetData>
  <mergeCells count="2">
    <mergeCell ref="B28:H2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14" customWidth="1" min="5" max="5"/>
    <col width="42" customWidth="1" min="6" max="6"/>
  </cols>
  <sheetData>
    <row r="1" ht="26" customHeight="1">
      <c r="A1" s="36" t="inlineStr">
        <is>
          <t>ЗАКУПКА ПЛАСТИКА — что держать в запасе</t>
        </is>
      </c>
    </row>
    <row r="2">
      <c r="A2" s="32" t="inlineStr">
        <is>
          <t>В Крыму логистика медленная. Правило: заказывай новую катушку, когда осталась ОДНА. Держи запас на 2 недели.</t>
        </is>
      </c>
    </row>
    <row r="3">
      <c r="A3" s="8" t="inlineStr">
        <is>
          <t>Цвет / тип</t>
        </is>
      </c>
      <c r="B3" s="8" t="inlineStr">
        <is>
          <t>Приоритет</t>
        </is>
      </c>
      <c r="C3" s="8" t="inlineStr">
        <is>
          <t>Есть, кг</t>
        </is>
      </c>
      <c r="D3" s="8" t="inlineStr">
        <is>
          <t>Нужно, кг</t>
        </is>
      </c>
      <c r="E3" s="8" t="inlineStr">
        <is>
          <t>Докупить</t>
        </is>
      </c>
      <c r="F3" s="8" t="inlineStr">
        <is>
          <t>Зачем</t>
        </is>
      </c>
    </row>
    <row r="4">
      <c r="A4" s="9" t="inlineStr">
        <is>
          <t>PLA чёрный</t>
        </is>
      </c>
      <c r="B4" s="9" t="inlineStr">
        <is>
          <t>1 — сразу</t>
        </is>
      </c>
      <c r="C4" s="15" t="n">
        <v>0</v>
      </c>
      <c r="D4" s="15" t="n">
        <v>2</v>
      </c>
      <c r="E4" s="37">
        <f>MAX(0,D4-C4)</f>
        <v/>
      </c>
      <c r="F4" s="22" t="inlineStr">
        <is>
          <t>универсальный, база для двухцветки</t>
        </is>
      </c>
    </row>
    <row r="5">
      <c r="A5" s="9" t="inlineStr">
        <is>
          <t>PLA белый</t>
        </is>
      </c>
      <c r="B5" s="9" t="inlineStr">
        <is>
          <t>1 — сразу</t>
        </is>
      </c>
      <c r="C5" s="15" t="n">
        <v>0</v>
      </c>
      <c r="D5" s="15" t="n">
        <v>2</v>
      </c>
      <c r="E5" s="37">
        <f>MAX(0,D5-C5)</f>
        <v/>
      </c>
      <c r="F5" s="22" t="inlineStr">
        <is>
          <t>универсальный, топперы, таблички</t>
        </is>
      </c>
    </row>
    <row r="6">
      <c r="A6" s="9" t="inlineStr">
        <is>
          <t>PLA серый</t>
        </is>
      </c>
      <c r="B6" s="9" t="inlineStr">
        <is>
          <t>1 — сразу</t>
        </is>
      </c>
      <c r="C6" s="15" t="n">
        <v>0</v>
      </c>
      <c r="D6" s="15" t="n">
        <v>1</v>
      </c>
      <c r="E6" s="37">
        <f>MAX(0,D6-C6)</f>
        <v/>
      </c>
      <c r="F6" s="22" t="inlineStr">
        <is>
          <t>быт, органайзеры, держатели</t>
        </is>
      </c>
    </row>
    <row r="7">
      <c r="A7" s="9" t="inlineStr">
        <is>
          <t>PLA красный</t>
        </is>
      </c>
      <c r="B7" s="9" t="inlineStr">
        <is>
          <t>2 — неделя 2</t>
        </is>
      </c>
      <c r="C7" s="15" t="n">
        <v>0</v>
      </c>
      <c r="D7" s="15" t="n">
        <v>1</v>
      </c>
      <c r="E7" s="37">
        <f>MAX(0,D7-C7)</f>
        <v/>
      </c>
      <c r="F7" s="22" t="inlineStr">
        <is>
          <t>драконы, яркая мелочь</t>
        </is>
      </c>
    </row>
    <row r="8">
      <c r="A8" s="9" t="inlineStr">
        <is>
          <t>PLA синий</t>
        </is>
      </c>
      <c r="B8" s="9" t="inlineStr">
        <is>
          <t>2 — неделя 2</t>
        </is>
      </c>
      <c r="C8" s="15" t="n">
        <v>0</v>
      </c>
      <c r="D8" s="15" t="n">
        <v>1</v>
      </c>
      <c r="E8" s="37">
        <f>MAX(0,D8-C8)</f>
        <v/>
      </c>
      <c r="F8" s="22" t="inlineStr">
        <is>
          <t>драконы, детское</t>
        </is>
      </c>
    </row>
    <row r="9">
      <c r="A9" s="9" t="inlineStr">
        <is>
          <t>PLA зелёный / мятный</t>
        </is>
      </c>
      <c r="B9" s="9" t="inlineStr">
        <is>
          <t>2 — неделя 2</t>
        </is>
      </c>
      <c r="C9" s="15" t="n">
        <v>0</v>
      </c>
      <c r="D9" s="15" t="n">
        <v>1</v>
      </c>
      <c r="E9" s="37">
        <f>MAX(0,D9-C9)</f>
        <v/>
      </c>
      <c r="F9" s="22" t="inlineStr">
        <is>
          <t>драконы, аксолотли — ходовой</t>
        </is>
      </c>
    </row>
    <row r="10">
      <c r="A10" s="9" t="inlineStr">
        <is>
          <t>PLA золотой / шёлк</t>
        </is>
      </c>
      <c r="B10" s="9" t="inlineStr">
        <is>
          <t>3 — месяц 2</t>
        </is>
      </c>
      <c r="C10" s="15" t="n">
        <v>0</v>
      </c>
      <c r="D10" s="15" t="n">
        <v>1</v>
      </c>
      <c r="E10" s="37">
        <f>MAX(0,D10-C10)</f>
        <v/>
      </c>
      <c r="F10" s="22" t="inlineStr">
        <is>
          <t>премиум-позиции, вазы, наценка +50%</t>
        </is>
      </c>
    </row>
    <row r="11">
      <c r="A11" s="9" t="inlineStr">
        <is>
          <t>PLA светящийся (glow)</t>
        </is>
      </c>
      <c r="B11" s="9" t="inlineStr">
        <is>
          <t>3 — месяц 2</t>
        </is>
      </c>
      <c r="C11" s="15" t="n">
        <v>0</v>
      </c>
      <c r="D11" s="15" t="n">
        <v>1</v>
      </c>
      <c r="E11" s="37">
        <f>MAX(0,D11-C11)</f>
        <v/>
      </c>
      <c r="F11" s="22" t="inlineStr">
        <is>
          <t>+200 ₽ к цене любой фигурки</t>
        </is>
      </c>
    </row>
    <row r="12">
      <c r="A12" s="9" t="inlineStr">
        <is>
          <t>PETG чёрный</t>
        </is>
      </c>
      <c r="B12" s="9" t="inlineStr">
        <is>
          <t>2 — месяц 1-2</t>
        </is>
      </c>
      <c r="C12" s="15" t="n">
        <v>0</v>
      </c>
      <c r="D12" s="15" t="n">
        <v>1</v>
      </c>
      <c r="E12" s="37">
        <f>MAX(0,D12-C12)</f>
        <v/>
      </c>
      <c r="F12" s="22" t="inlineStr">
        <is>
          <t>улица, влага, нагрузка</t>
        </is>
      </c>
    </row>
    <row r="13">
      <c r="A13" s="9" t="inlineStr">
        <is>
          <t>PETG прозрачный</t>
        </is>
      </c>
      <c r="B13" s="9" t="inlineStr">
        <is>
          <t>3 — месяц 2</t>
        </is>
      </c>
      <c r="C13" s="15" t="n">
        <v>0</v>
      </c>
      <c r="D13" s="15" t="n">
        <v>1</v>
      </c>
      <c r="E13" s="37">
        <f>MAX(0,D13-C13)</f>
        <v/>
      </c>
      <c r="F13" s="22" t="inlineStr">
        <is>
          <t>ночники, вазы</t>
        </is>
      </c>
    </row>
    <row r="14">
      <c r="A14" s="9" t="inlineStr">
        <is>
          <t>ASA / ABS чёрный</t>
        </is>
      </c>
      <c r="B14" s="9" t="inlineStr">
        <is>
          <t>3 — месяц 2</t>
        </is>
      </c>
      <c r="C14" s="15" t="n">
        <v>0</v>
      </c>
      <c r="D14" s="15" t="n">
        <v>1</v>
      </c>
      <c r="E14" s="37">
        <f>MAX(0,D14-C14)</f>
        <v/>
      </c>
      <c r="F14" s="22" t="inlineStr">
        <is>
          <t>автозапчасти, жара — конкуренты не могут!</t>
        </is>
      </c>
    </row>
    <row r="15">
      <c r="A15" s="9" t="inlineStr">
        <is>
          <t>TPU гибкий</t>
        </is>
      </c>
      <c r="B15" s="9" t="inlineStr">
        <is>
          <t>4 — позже</t>
        </is>
      </c>
      <c r="C15" s="15" t="n">
        <v>0</v>
      </c>
      <c r="D15" s="15" t="n">
        <v>1</v>
      </c>
      <c r="E15" s="37">
        <f>MAX(0,D15-C15)</f>
        <v/>
      </c>
      <c r="F15" s="22" t="inlineStr">
        <is>
          <t>чехлы, прокладки, если освоишь</t>
        </is>
      </c>
    </row>
    <row r="17">
      <c r="A17" s="2" t="inlineStr">
        <is>
          <t>Цена катушки, ₽</t>
        </is>
      </c>
      <c r="B17" s="39" t="n">
        <v>1600</v>
      </c>
      <c r="C17" s="4" t="inlineStr">
        <is>
          <t>← средняя цена PLA 1 кг, правь под своего поставщика</t>
        </is>
      </c>
    </row>
    <row r="18">
      <c r="A18" s="2" t="inlineStr">
        <is>
          <t>Докупить всего, кг</t>
        </is>
      </c>
      <c r="B18" s="2">
        <f>SUM(E4:E15)</f>
        <v/>
      </c>
    </row>
    <row r="19">
      <c r="A19" s="2" t="inlineStr">
        <is>
          <t>Сумма закупки, ₽</t>
        </is>
      </c>
      <c r="B19" s="40">
        <f>B18*B17</f>
        <v/>
      </c>
    </row>
    <row r="21">
      <c r="A21" s="7" t="inlineStr">
        <is>
          <t>ГДЕ БРАТЬ ПЛАСТИК</t>
        </is>
      </c>
    </row>
    <row r="22" ht="30" customHeight="1">
      <c r="A22" s="2" t="inlineStr">
        <is>
          <t>Ozon / Wildberries</t>
        </is>
      </c>
      <c r="B22" s="41" t="inlineStr">
        <is>
          <t>Самый доступный вариант для Крыма. Ищи по запросу «PLA 1.75 1кг». Небрендовый PLA идёт от ~900-1300 ₽/кг, оригинал Bambu ~1500-1900 ₽/кг.</t>
        </is>
      </c>
    </row>
    <row r="23" ht="30" customHeight="1">
      <c r="A23" s="2" t="inlineStr">
        <is>
          <t>Важно про AMS</t>
        </is>
      </c>
      <c r="B23" s="41" t="inlineStr">
        <is>
          <t>AMS отлично работает и со сторонним пластиком — RFID-чип не обязателен, профиль выставляется вручную в Bambu Studio. Не переплачивай за брендовый ради чипа.</t>
        </is>
      </c>
    </row>
    <row r="24" ht="30" customHeight="1">
      <c r="A24" s="2" t="inlineStr">
        <is>
          <t>Экономия</t>
        </is>
      </c>
      <c r="B24" s="41" t="inlineStr">
        <is>
          <t>Разница между небрендовым PLA за 1000 ₽ и оригиналом за 1800 ₽ на объёме 10 кг в месяц — 8000 ₽. Для полки и игрушек небрендового достаточно.</t>
        </is>
      </c>
    </row>
    <row r="25" ht="30" customHeight="1">
      <c r="A25" s="2" t="inlineStr">
        <is>
          <t>Когда брать оригинал</t>
        </is>
      </c>
      <c r="B25" s="41" t="inlineStr">
        <is>
          <t>Для ответственных заказов клиента и сложной двухцветки — оригинал стабильнее. Для полки — можно дешёвый.</t>
        </is>
      </c>
    </row>
    <row r="26" ht="30" customHeight="1">
      <c r="A26" s="2" t="inlineStr">
        <is>
          <t>Крым: сроки</t>
        </is>
      </c>
      <c r="B26" s="41" t="inlineStr">
        <is>
          <t>Закладывай 1-2 недели на доставку. Именно поэтому запас на 2 недели вперёд — не перестраховка, а необходимость.</t>
        </is>
      </c>
    </row>
    <row r="27" ht="30" customHeight="1">
      <c r="A27" s="2" t="inlineStr">
        <is>
          <t>Хранение</t>
        </is>
      </c>
      <c r="B27" s="41" t="inlineStr">
        <is>
          <t>Держи в пакете с силикагелем. Влажный PLA даёт треск при печати и рваную поверхность. В Крыму влажность высокая — это реальная проблема.</t>
        </is>
      </c>
    </row>
  </sheetData>
  <mergeCells count="9">
    <mergeCell ref="A2:F2"/>
    <mergeCell ref="B24:F24"/>
    <mergeCell ref="A1:F1"/>
    <mergeCell ref="B25:F25"/>
    <mergeCell ref="B23:F23"/>
    <mergeCell ref="B22:F22"/>
    <mergeCell ref="A21:F21"/>
    <mergeCell ref="B26:F26"/>
    <mergeCell ref="B27:F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8" customWidth="1" min="4" max="4"/>
    <col width="15" customWidth="1" min="5" max="5"/>
    <col width="15" customWidth="1" min="6" max="6"/>
    <col width="17" customWidth="1" min="7" max="7"/>
    <col width="22" customWidth="1" min="9" max="9"/>
    <col width="14" customWidth="1" min="10" max="10"/>
  </cols>
  <sheetData>
    <row r="1" ht="26" customHeight="1">
      <c r="A1" s="36" t="inlineStr">
        <is>
          <t>ПОСТОЯННЫЕ КЛИЕНТЫ — главный актив бизнеса</t>
        </is>
      </c>
    </row>
    <row r="2" ht="30" customHeight="1">
      <c r="A2" s="33" t="inlineStr">
        <is>
          <t>Клиент</t>
        </is>
      </c>
      <c r="B2" s="33" t="inlineStr">
        <is>
          <t>Тип</t>
        </is>
      </c>
      <c r="C2" s="33" t="inlineStr">
        <is>
          <t>Контакт</t>
        </is>
      </c>
      <c r="D2" s="33" t="inlineStr">
        <is>
          <t>Что заказывает</t>
        </is>
      </c>
      <c r="E2" s="33" t="inlineStr">
        <is>
          <t>Средний чек, ₽</t>
        </is>
      </c>
      <c r="F2" s="33" t="inlineStr">
        <is>
          <t>Заказов в мес</t>
        </is>
      </c>
      <c r="G2" s="33" t="inlineStr">
        <is>
          <t>Выручка в мес, ₽</t>
        </is>
      </c>
    </row>
    <row r="3">
      <c r="A3" s="9" t="n"/>
      <c r="B3" s="9" t="n"/>
      <c r="C3" s="9" t="n"/>
      <c r="D3" s="9" t="n"/>
      <c r="E3" s="9" t="n"/>
      <c r="F3" s="9" t="n"/>
      <c r="G3" s="11">
        <f>IF(OR(E3="",F3=""),"",E3*F3)</f>
        <v/>
      </c>
      <c r="I3" s="2" t="inlineStr">
        <is>
          <t>Постоянных клиентов</t>
        </is>
      </c>
      <c r="J3">
        <f>COUNTA(A3:A22)</f>
        <v/>
      </c>
    </row>
    <row r="4">
      <c r="A4" s="9" t="n"/>
      <c r="B4" s="9" t="n"/>
      <c r="C4" s="9" t="n"/>
      <c r="D4" s="9" t="n"/>
      <c r="E4" s="9" t="n"/>
      <c r="F4" s="9" t="n"/>
      <c r="G4" s="11">
        <f>IF(OR(E4="",F4=""),"",E4*F4)</f>
        <v/>
      </c>
      <c r="I4" s="2" t="inlineStr">
        <is>
          <t>Выручка в месяц, ₽</t>
        </is>
      </c>
      <c r="J4" s="14">
        <f>SUM(G3:G22)</f>
        <v/>
      </c>
    </row>
    <row r="5">
      <c r="A5" s="9" t="n"/>
      <c r="B5" s="9" t="n"/>
      <c r="C5" s="9" t="n"/>
      <c r="D5" s="9" t="n"/>
      <c r="E5" s="9" t="n"/>
      <c r="F5" s="9" t="n"/>
      <c r="G5" s="11">
        <f>IF(OR(E5="",F5=""),"",E5*F5)</f>
        <v/>
      </c>
      <c r="I5" s="2" t="inlineStr">
        <is>
          <t>Цель по окупаемости</t>
        </is>
      </c>
      <c r="J5" s="14" t="n">
        <v>13400</v>
      </c>
    </row>
    <row r="6">
      <c r="A6" s="9" t="n"/>
      <c r="B6" s="9" t="n"/>
      <c r="C6" s="9" t="n"/>
      <c r="D6" s="9" t="n"/>
      <c r="E6" s="9" t="n"/>
      <c r="F6" s="9" t="n"/>
      <c r="G6" s="11">
        <f>IF(OR(E6="",F6=""),"",E6*F6)</f>
        <v/>
      </c>
      <c r="I6" s="2" t="inlineStr">
        <is>
          <t>Покрытие цели</t>
        </is>
      </c>
      <c r="J6" s="38">
        <f>IFERROR(J4/J5,0)</f>
        <v/>
      </c>
    </row>
    <row r="7">
      <c r="A7" s="9" t="n"/>
      <c r="B7" s="9" t="n"/>
      <c r="C7" s="9" t="n"/>
      <c r="D7" s="9" t="n"/>
      <c r="E7" s="9" t="n"/>
      <c r="F7" s="9" t="n"/>
      <c r="G7" s="11">
        <f>IF(OR(E7="",F7=""),"",E7*F7)</f>
        <v/>
      </c>
    </row>
    <row r="8">
      <c r="A8" s="9" t="n"/>
      <c r="B8" s="9" t="n"/>
      <c r="C8" s="9" t="n"/>
      <c r="D8" s="9" t="n"/>
      <c r="E8" s="9" t="n"/>
      <c r="F8" s="9" t="n"/>
      <c r="G8" s="11">
        <f>IF(OR(E8="",F8=""),"",E8*F8)</f>
        <v/>
      </c>
    </row>
    <row r="9">
      <c r="A9" s="9" t="n"/>
      <c r="B9" s="9" t="n"/>
      <c r="C9" s="9" t="n"/>
      <c r="D9" s="9" t="n"/>
      <c r="E9" s="9" t="n"/>
      <c r="F9" s="9" t="n"/>
      <c r="G9" s="11">
        <f>IF(OR(E9="",F9=""),"",E9*F9)</f>
        <v/>
      </c>
    </row>
    <row r="10">
      <c r="A10" s="9" t="n"/>
      <c r="B10" s="9" t="n"/>
      <c r="C10" s="9" t="n"/>
      <c r="D10" s="9" t="n"/>
      <c r="E10" s="9" t="n"/>
      <c r="F10" s="9" t="n"/>
      <c r="G10" s="11">
        <f>IF(OR(E10="",F10=""),"",E10*F10)</f>
        <v/>
      </c>
    </row>
    <row r="11">
      <c r="A11" s="9" t="n"/>
      <c r="B11" s="9" t="n"/>
      <c r="C11" s="9" t="n"/>
      <c r="D11" s="9" t="n"/>
      <c r="E11" s="9" t="n"/>
      <c r="F11" s="9" t="n"/>
      <c r="G11" s="11">
        <f>IF(OR(E11="",F11=""),"",E11*F11)</f>
        <v/>
      </c>
    </row>
    <row r="12">
      <c r="A12" s="9" t="n"/>
      <c r="B12" s="9" t="n"/>
      <c r="C12" s="9" t="n"/>
      <c r="D12" s="9" t="n"/>
      <c r="E12" s="9" t="n"/>
      <c r="F12" s="9" t="n"/>
      <c r="G12" s="11">
        <f>IF(OR(E12="",F12=""),"",E12*F12)</f>
        <v/>
      </c>
    </row>
    <row r="13">
      <c r="A13" s="9" t="n"/>
      <c r="B13" s="9" t="n"/>
      <c r="C13" s="9" t="n"/>
      <c r="D13" s="9" t="n"/>
      <c r="E13" s="9" t="n"/>
      <c r="F13" s="9" t="n"/>
      <c r="G13" s="11">
        <f>IF(OR(E13="",F13=""),"",E13*F13)</f>
        <v/>
      </c>
    </row>
    <row r="14">
      <c r="A14" s="9" t="n"/>
      <c r="B14" s="9" t="n"/>
      <c r="C14" s="9" t="n"/>
      <c r="D14" s="9" t="n"/>
      <c r="E14" s="9" t="n"/>
      <c r="F14" s="9" t="n"/>
      <c r="G14" s="11">
        <f>IF(OR(E14="",F14=""),"",E14*F14)</f>
        <v/>
      </c>
    </row>
    <row r="15">
      <c r="A15" s="9" t="n"/>
      <c r="B15" s="9" t="n"/>
      <c r="C15" s="9" t="n"/>
      <c r="D15" s="9" t="n"/>
      <c r="E15" s="9" t="n"/>
      <c r="F15" s="9" t="n"/>
      <c r="G15" s="11">
        <f>IF(OR(E15="",F15=""),"",E15*F15)</f>
        <v/>
      </c>
    </row>
    <row r="16">
      <c r="A16" s="9" t="n"/>
      <c r="B16" s="9" t="n"/>
      <c r="C16" s="9" t="n"/>
      <c r="D16" s="9" t="n"/>
      <c r="E16" s="9" t="n"/>
      <c r="F16" s="9" t="n"/>
      <c r="G16" s="11">
        <f>IF(OR(E16="",F16=""),"",E16*F16)</f>
        <v/>
      </c>
    </row>
    <row r="17">
      <c r="A17" s="9" t="n"/>
      <c r="B17" s="9" t="n"/>
      <c r="C17" s="9" t="n"/>
      <c r="D17" s="9" t="n"/>
      <c r="E17" s="9" t="n"/>
      <c r="F17" s="9" t="n"/>
      <c r="G17" s="11">
        <f>IF(OR(E17="",F17=""),"",E17*F17)</f>
        <v/>
      </c>
    </row>
    <row r="18">
      <c r="A18" s="9" t="n"/>
      <c r="B18" s="9" t="n"/>
      <c r="C18" s="9" t="n"/>
      <c r="D18" s="9" t="n"/>
      <c r="E18" s="9" t="n"/>
      <c r="F18" s="9" t="n"/>
      <c r="G18" s="11">
        <f>IF(OR(E18="",F18=""),"",E18*F18)</f>
        <v/>
      </c>
    </row>
    <row r="19">
      <c r="A19" s="9" t="n"/>
      <c r="B19" s="9" t="n"/>
      <c r="C19" s="9" t="n"/>
      <c r="D19" s="9" t="n"/>
      <c r="E19" s="9" t="n"/>
      <c r="F19" s="9" t="n"/>
      <c r="G19" s="11">
        <f>IF(OR(E19="",F19=""),"",E19*F19)</f>
        <v/>
      </c>
    </row>
    <row r="20">
      <c r="A20" s="9" t="n"/>
      <c r="B20" s="9" t="n"/>
      <c r="C20" s="9" t="n"/>
      <c r="D20" s="9" t="n"/>
      <c r="E20" s="9" t="n"/>
      <c r="F20" s="9" t="n"/>
      <c r="G20" s="11">
        <f>IF(OR(E20="",F20=""),"",E20*F20)</f>
        <v/>
      </c>
    </row>
    <row r="21">
      <c r="A21" s="9" t="n"/>
      <c r="B21" s="9" t="n"/>
      <c r="C21" s="9" t="n"/>
      <c r="D21" s="9" t="n"/>
      <c r="E21" s="9" t="n"/>
      <c r="F21" s="9" t="n"/>
      <c r="G21" s="11">
        <f>IF(OR(E21="",F21=""),"",E21*F21)</f>
        <v/>
      </c>
    </row>
    <row r="22">
      <c r="A22" s="9" t="n"/>
      <c r="B22" s="9" t="n"/>
      <c r="C22" s="9" t="n"/>
      <c r="D22" s="9" t="n"/>
      <c r="E22" s="9" t="n"/>
      <c r="F22" s="9" t="n"/>
      <c r="G22" s="11">
        <f>IF(OR(E22="",F22=""),"",E22*F22)</f>
        <v/>
      </c>
    </row>
    <row r="25">
      <c r="A25" s="4" t="inlineStr">
        <is>
          <t>Пять кондитеров по 4-6 тыс ₽/мес закрывают план окупаемости целиком. Один постоянный клиент ценнее двадцати разовых.</t>
        </is>
      </c>
    </row>
  </sheetData>
  <mergeCells count="2"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2026-08-15T19:46:03Z</dcterms:created>
  <dcterms:modified xmlns:dcterms="http://purl.org/dc/terms/" xmlns:xsi="http://www.w3.org/2001/XMLSchema-instance" xsi:type="dcterms:W3CDTF">2026-08-15T20:06:44Z</dcterms:modified>
</cp:coreProperties>
</file>